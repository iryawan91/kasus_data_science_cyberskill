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de Iryawan\Downloads\"/>
    </mc:Choice>
  </mc:AlternateContent>
  <xr:revisionPtr revIDLastSave="0" documentId="13_ncr:1_{BB5D3446-C1CF-4EAD-8BB0-40B073200790}" xr6:coauthVersionLast="45" xr6:coauthVersionMax="45" xr10:uidLastSave="{00000000-0000-0000-0000-000000000000}"/>
  <bookViews>
    <workbookView xWindow="-120" yWindow="-120" windowWidth="20730" windowHeight="11160" firstSheet="4" activeTab="7" xr2:uid="{0604D188-DA9B-41C0-B5D3-3AC4B20F7264}"/>
  </bookViews>
  <sheets>
    <sheet name="SORT" sheetId="1" r:id="rId1"/>
    <sheet name="FILTER" sheetId="2" r:id="rId2"/>
    <sheet name="SUBTOTAL" sheetId="3" r:id="rId3"/>
    <sheet name="DATA VALIDATION" sheetId="4" r:id="rId4"/>
    <sheet name="ERROR CHECKING" sheetId="5" r:id="rId5"/>
    <sheet name="REMOVING DUPLICATES" sheetId="6" r:id="rId6"/>
    <sheet name="TEXT TO COLUMNS" sheetId="7" r:id="rId7"/>
    <sheet name="FLASH FILL" sheetId="9" r:id="rId8"/>
  </sheets>
  <externalReferences>
    <externalReference r:id="rId9"/>
  </externalReferences>
  <definedNames>
    <definedName name="_xlnm._FilterDatabase" localSheetId="1" hidden="1">FILTER!$A$1:$H$21</definedName>
    <definedName name="_xlnm._FilterDatabase" localSheetId="2" hidden="1">SUBTOTAL!$A$1:$H$27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5" l="1"/>
  <c r="D14" i="5"/>
  <c r="D13" i="5"/>
  <c r="D12" i="5"/>
  <c r="D11" i="5"/>
  <c r="D10" i="5"/>
  <c r="D9" i="5"/>
  <c r="H28" i="3"/>
  <c r="G28" i="3"/>
  <c r="F28" i="3"/>
  <c r="G25" i="3"/>
  <c r="F25" i="3"/>
  <c r="G22" i="3"/>
  <c r="F22" i="3"/>
  <c r="G18" i="3"/>
  <c r="F18" i="3"/>
  <c r="G14" i="3"/>
  <c r="F14" i="3"/>
  <c r="G10" i="3"/>
  <c r="F10" i="3"/>
  <c r="G5" i="3"/>
  <c r="G29" i="3" s="1"/>
  <c r="F5" i="3"/>
  <c r="F29" i="3" s="1"/>
  <c r="H27" i="3"/>
  <c r="H26" i="3"/>
  <c r="H24" i="3"/>
  <c r="H23" i="3"/>
  <c r="H25" i="3" s="1"/>
  <c r="H21" i="3"/>
  <c r="H20" i="3"/>
  <c r="H19" i="3"/>
  <c r="H22" i="3" s="1"/>
  <c r="H17" i="3"/>
  <c r="H16" i="3"/>
  <c r="H15" i="3"/>
  <c r="H18" i="3" s="1"/>
  <c r="H13" i="3"/>
  <c r="H12" i="3"/>
  <c r="H14" i="3" s="1"/>
  <c r="H11" i="3"/>
  <c r="H9" i="3"/>
  <c r="H8" i="3"/>
  <c r="H7" i="3"/>
  <c r="H6" i="3"/>
  <c r="H10" i="3" s="1"/>
  <c r="H4" i="3"/>
  <c r="H3" i="3"/>
  <c r="H2" i="3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5" i="3" l="1"/>
  <c r="H29" i="3" s="1"/>
</calcChain>
</file>

<file path=xl/sharedStrings.xml><?xml version="1.0" encoding="utf-8"?>
<sst xmlns="http://schemas.openxmlformats.org/spreadsheetml/2006/main" count="939" uniqueCount="181">
  <si>
    <t>NO</t>
  </si>
  <si>
    <t>TANGGAL</t>
  </si>
  <si>
    <t>NAMA</t>
  </si>
  <si>
    <t>ALAMAT</t>
  </si>
  <si>
    <t>BARANG</t>
  </si>
  <si>
    <t>UKURAN</t>
  </si>
  <si>
    <t>BANYAK</t>
  </si>
  <si>
    <t>HARGA</t>
  </si>
  <si>
    <t>TOTAL</t>
  </si>
  <si>
    <t>Bejo</t>
  </si>
  <si>
    <t>Jakarta</t>
  </si>
  <si>
    <t>Celana</t>
  </si>
  <si>
    <t>M</t>
  </si>
  <si>
    <t>Bobi</t>
  </si>
  <si>
    <t>XL</t>
  </si>
  <si>
    <t>Doni</t>
  </si>
  <si>
    <t>Bandung</t>
  </si>
  <si>
    <t>Kaos</t>
  </si>
  <si>
    <t>Endang</t>
  </si>
  <si>
    <t>L</t>
  </si>
  <si>
    <t>Imam</t>
  </si>
  <si>
    <t>Surabaya</t>
  </si>
  <si>
    <t>Samirun</t>
  </si>
  <si>
    <t>Makassar</t>
  </si>
  <si>
    <t>Santi</t>
  </si>
  <si>
    <t>Palembang</t>
  </si>
  <si>
    <t>Baju</t>
  </si>
  <si>
    <t>Sulastri</t>
  </si>
  <si>
    <t>Abdullah</t>
  </si>
  <si>
    <t>Medan</t>
  </si>
  <si>
    <t>Angga</t>
  </si>
  <si>
    <t>Ahmad</t>
  </si>
  <si>
    <t>Galuh</t>
  </si>
  <si>
    <t>Semarang</t>
  </si>
  <si>
    <t>TOKO BUKU</t>
  </si>
  <si>
    <t>Toko Buku Jogja</t>
  </si>
  <si>
    <t>Literasi Medan</t>
  </si>
  <si>
    <t>Stasiun Inspirasi</t>
  </si>
  <si>
    <t>Pustaka Impian</t>
  </si>
  <si>
    <t>Toko Kata</t>
  </si>
  <si>
    <t>Laskar Pelangi</t>
  </si>
  <si>
    <t>JUDUL BUKU</t>
  </si>
  <si>
    <t>Bumi Manusia</t>
  </si>
  <si>
    <t>Dilan</t>
  </si>
  <si>
    <t>Sokola Rimba</t>
  </si>
  <si>
    <t>Garis Waktu</t>
  </si>
  <si>
    <t>Ayat-Ayat Cinta</t>
  </si>
  <si>
    <t>Koala Kumal</t>
  </si>
  <si>
    <t>Mayor</t>
  </si>
  <si>
    <t>PENERBIT</t>
  </si>
  <si>
    <t>Independen</t>
  </si>
  <si>
    <t xml:space="preserve"> Intrans Publishing</t>
  </si>
  <si>
    <t>Grasindo</t>
  </si>
  <si>
    <t>Inari</t>
  </si>
  <si>
    <t>Bintang Media</t>
  </si>
  <si>
    <t>Falcon Publishing</t>
  </si>
  <si>
    <t>Grand Total</t>
  </si>
  <si>
    <t>Mayor Total</t>
  </si>
  <si>
    <t>Independen Total</t>
  </si>
  <si>
    <t xml:space="preserve"> Intrans Publishing Total</t>
  </si>
  <si>
    <t>Grasindo Total</t>
  </si>
  <si>
    <t>Inari Total</t>
  </si>
  <si>
    <t>Bintang Media Total</t>
  </si>
  <si>
    <t>Falcon Publishing Total</t>
  </si>
  <si>
    <t>Nama Pegawai</t>
  </si>
  <si>
    <t>Bidang</t>
  </si>
  <si>
    <t>Golongan</t>
  </si>
  <si>
    <t>Nilai Kinerja</t>
  </si>
  <si>
    <t>Jenis Kelamin</t>
  </si>
  <si>
    <t>Pria</t>
  </si>
  <si>
    <t>Wanita</t>
  </si>
  <si>
    <t>NILAI 1</t>
  </si>
  <si>
    <t>NILAI 2</t>
  </si>
  <si>
    <t>Nurhayani Despita</t>
  </si>
  <si>
    <t>Reisha Anggraeni</t>
  </si>
  <si>
    <t xml:space="preserve">Nadhifa Juliani </t>
  </si>
  <si>
    <t xml:space="preserve">Nadya Siti </t>
  </si>
  <si>
    <t>Raffael Mikaila</t>
  </si>
  <si>
    <t>HASIL</t>
  </si>
  <si>
    <t>FORMULA</t>
  </si>
  <si>
    <t>=SUM(C2:C6 D2:D6)</t>
  </si>
  <si>
    <t>=(C2+D2)/0</t>
  </si>
  <si>
    <t>=B3+C3</t>
  </si>
  <si>
    <t>=C4+[Book5.xlsx]Sheet1!A1</t>
  </si>
  <si>
    <t>=SUM(DATA)</t>
  </si>
  <si>
    <t>=10^1000</t>
  </si>
  <si>
    <t>=VLOOKUP("Nama 6",B1:D6,2,)</t>
  </si>
  <si>
    <t>Nama</t>
  </si>
  <si>
    <t>ID Karyawan</t>
  </si>
  <si>
    <t>Tanggal Masuk</t>
  </si>
  <si>
    <t>Tanggal Resign</t>
  </si>
  <si>
    <t>Masa Kerja</t>
  </si>
  <si>
    <t>Ruben Ardi</t>
  </si>
  <si>
    <t>IT-101</t>
  </si>
  <si>
    <t>16 tahun, 11 bulan</t>
  </si>
  <si>
    <t>Disti Liana</t>
  </si>
  <si>
    <t>AK-203</t>
  </si>
  <si>
    <t>11 tahun, 9 bulan</t>
  </si>
  <si>
    <t>Juned Abdullah</t>
  </si>
  <si>
    <t>HR-191</t>
  </si>
  <si>
    <t>12 tahun, 3 bulan</t>
  </si>
  <si>
    <t>Aryanne Marina</t>
  </si>
  <si>
    <t>SA-946</t>
  </si>
  <si>
    <t>5 tahun, 6 bulan</t>
  </si>
  <si>
    <t>Mega Sarita</t>
  </si>
  <si>
    <t>OPS-11</t>
  </si>
  <si>
    <t>22 tahun, 8 bulan</t>
  </si>
  <si>
    <t>Nama Belakang</t>
  </si>
  <si>
    <t>Nama Depan</t>
  </si>
  <si>
    <t>Nama Lengkap</t>
  </si>
  <si>
    <t>Inisial</t>
  </si>
  <si>
    <t>Email</t>
  </si>
  <si>
    <t>Lionel Messi</t>
  </si>
  <si>
    <t>Robin van Persie</t>
  </si>
  <si>
    <t>Cristiano Ronaldo</t>
  </si>
  <si>
    <t>Andres Iniesta</t>
  </si>
  <si>
    <t>Zlatan Ibrahimovic</t>
  </si>
  <si>
    <t>Radamel Falcao</t>
  </si>
  <si>
    <t>Andrea Pirlo</t>
  </si>
  <si>
    <t>Yaya Toure</t>
  </si>
  <si>
    <t>Edinson Cavani</t>
  </si>
  <si>
    <t>Sergio Aguero</t>
  </si>
  <si>
    <t>Iker Casillas</t>
  </si>
  <si>
    <t>Sergio Busquets</t>
  </si>
  <si>
    <t>Xabi Alonso</t>
  </si>
  <si>
    <t>Thiago Silva</t>
  </si>
  <si>
    <t>Mesut Ozil</t>
  </si>
  <si>
    <t>David Silva</t>
  </si>
  <si>
    <t>Bastian Schweinsteiger</t>
  </si>
  <si>
    <t>Gianluigi Buffon</t>
  </si>
  <si>
    <t>Luis Suarez</t>
  </si>
  <si>
    <t>Sergio Ramos</t>
  </si>
  <si>
    <t>Vincent Kompany</t>
  </si>
  <si>
    <t>Gerard Pique</t>
  </si>
  <si>
    <t>Philipp Lahm</t>
  </si>
  <si>
    <t>Marco Reus</t>
  </si>
  <si>
    <t>Franck Ribery</t>
  </si>
  <si>
    <t>Manuel Neuer</t>
  </si>
  <si>
    <t>Ashley Cole</t>
  </si>
  <si>
    <t>Wayne Rooney</t>
  </si>
  <si>
    <t>Juan Mata</t>
  </si>
  <si>
    <t>Thomas Muller</t>
  </si>
  <si>
    <t>Mario Götze</t>
  </si>
  <si>
    <t>Karim Benzema</t>
  </si>
  <si>
    <t>Cesc Fabregas</t>
  </si>
  <si>
    <t>Javier Mascherano</t>
  </si>
  <si>
    <t>Gareth Bale</t>
  </si>
  <si>
    <t>Javier Zanetti</t>
  </si>
  <si>
    <t>Daniele De Rossi</t>
  </si>
  <si>
    <t>Dani Alves</t>
  </si>
  <si>
    <t>Petr Cech</t>
  </si>
  <si>
    <t>Mats Hummels</t>
  </si>
  <si>
    <t>Carles Puyol</t>
  </si>
  <si>
    <t>Angel Di Maria</t>
  </si>
  <si>
    <t>Carlos Tevez</t>
  </si>
  <si>
    <t>Didier Drogba</t>
  </si>
  <si>
    <t>Giorgio Chiellini</t>
  </si>
  <si>
    <t>Stephan El Shaarawy</t>
  </si>
  <si>
    <t>Toni Kroos</t>
  </si>
  <si>
    <t>Jordi Alba</t>
  </si>
  <si>
    <t>Mario Gomez</t>
  </si>
  <si>
    <t>Arturo Vidal</t>
  </si>
  <si>
    <t>Eden Hazard</t>
  </si>
  <si>
    <t>James Rodriguez</t>
  </si>
  <si>
    <t>Marouane Fellaini</t>
  </si>
  <si>
    <t>David Villa</t>
  </si>
  <si>
    <t>Klaas Jan Huntelaar</t>
  </si>
  <si>
    <t>Nemanja Vidic</t>
  </si>
  <si>
    <t>Joe Hart</t>
  </si>
  <si>
    <t>Arjen Robben</t>
  </si>
  <si>
    <t>Mario Balotelli</t>
  </si>
  <si>
    <t>Mathieu Valbuena</t>
  </si>
  <si>
    <t>Robert Lewandowski</t>
  </si>
  <si>
    <t>Santi Cazorla</t>
  </si>
  <si>
    <t>Christian Eriksen</t>
  </si>
  <si>
    <t>Ezequiel Lavezzi</t>
  </si>
  <si>
    <t>Joao Moutinho</t>
  </si>
  <si>
    <t>Mario Mandžukić</t>
  </si>
  <si>
    <t>Patrice Evra</t>
  </si>
  <si>
    <t>David Luiz</t>
  </si>
  <si>
    <t>Luka Modric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</si>
</sst>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_);_(&quot;Rp&quot;* \(#,##0\);_(&quot;Rp&quot;* &quot;-&quot;_);_(@_)"/>
    <numFmt numFmtId="165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/>
    <xf numFmtId="0" fontId="0" fillId="0" borderId="0" xfId="0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horizontal="center" vertical="center"/>
    </xf>
    <xf numFmtId="164" fontId="0" fillId="0" borderId="0" xfId="1" applyFont="1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4" borderId="1" xfId="0" applyFill="1" applyBorder="1" applyAlignment="1">
      <alignment horizontal="center"/>
    </xf>
    <xf numFmtId="0" fontId="0" fillId="0" borderId="0" xfId="0"/>
    <xf numFmtId="0" fontId="3" fillId="5" borderId="0" xfId="0" applyFont="1" applyFill="1" applyAlignment="1">
      <alignment horizontal="center"/>
    </xf>
    <xf numFmtId="0" fontId="0" fillId="0" borderId="0" xfId="0"/>
    <xf numFmtId="0" fontId="3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4" fillId="0" borderId="0" xfId="2"/>
  </cellXfs>
  <cellStyles count="3">
    <cellStyle name="Currency [0]" xfId="1" builtinId="7"/>
    <cellStyle name="Hyperlink" xfId="2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44D7-9559-4E0E-9125-B7DCAC0FB947}">
  <dimension ref="A1:J151"/>
  <sheetViews>
    <sheetView workbookViewId="0">
      <selection activeCell="H2" sqref="A2:I151"/>
    </sheetView>
  </sheetViews>
  <sheetFormatPr defaultRowHeight="15" x14ac:dyDescent="0.25"/>
  <cols>
    <col min="1" max="2" width="10.7109375" bestFit="1" customWidth="1"/>
    <col min="4" max="4" width="10.28515625" customWidth="1"/>
    <col min="8" max="8" width="11.85546875" customWidth="1"/>
    <col min="9" max="9" width="15.140625" customWidth="1"/>
    <col min="10" max="10" width="11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25">
      <c r="A2" s="3">
        <v>1</v>
      </c>
      <c r="B2" s="4">
        <v>43497</v>
      </c>
      <c r="C2" s="3" t="s">
        <v>9</v>
      </c>
      <c r="D2" s="3" t="s">
        <v>10</v>
      </c>
      <c r="E2" s="3" t="s">
        <v>11</v>
      </c>
      <c r="F2" s="5" t="s">
        <v>12</v>
      </c>
      <c r="G2" s="5">
        <v>3</v>
      </c>
      <c r="H2" s="6">
        <v>125000</v>
      </c>
      <c r="I2" s="7">
        <f>H2*G2</f>
        <v>375000</v>
      </c>
      <c r="J2" s="8"/>
    </row>
    <row r="3" spans="1:10" x14ac:dyDescent="0.25">
      <c r="A3" s="3">
        <v>2</v>
      </c>
      <c r="B3" s="4">
        <v>43497</v>
      </c>
      <c r="C3" s="3" t="s">
        <v>13</v>
      </c>
      <c r="D3" s="3" t="s">
        <v>10</v>
      </c>
      <c r="E3" s="3" t="s">
        <v>11</v>
      </c>
      <c r="F3" s="5" t="s">
        <v>14</v>
      </c>
      <c r="G3" s="5">
        <v>7</v>
      </c>
      <c r="H3" s="6">
        <v>145000</v>
      </c>
      <c r="I3" s="7">
        <f>H3*G3</f>
        <v>1015000</v>
      </c>
    </row>
    <row r="4" spans="1:10" x14ac:dyDescent="0.25">
      <c r="A4" s="3">
        <v>3</v>
      </c>
      <c r="B4" s="4">
        <v>43497</v>
      </c>
      <c r="C4" s="3" t="s">
        <v>15</v>
      </c>
      <c r="D4" s="3" t="s">
        <v>16</v>
      </c>
      <c r="E4" s="3" t="s">
        <v>17</v>
      </c>
      <c r="F4" s="5" t="s">
        <v>12</v>
      </c>
      <c r="G4" s="5">
        <v>1</v>
      </c>
      <c r="H4" s="6">
        <v>90000</v>
      </c>
      <c r="I4" s="7">
        <f>H4*G4</f>
        <v>90000</v>
      </c>
    </row>
    <row r="5" spans="1:10" x14ac:dyDescent="0.25">
      <c r="A5" s="3">
        <v>4</v>
      </c>
      <c r="B5" s="4">
        <v>43497</v>
      </c>
      <c r="C5" s="3" t="s">
        <v>18</v>
      </c>
      <c r="D5" s="3" t="s">
        <v>16</v>
      </c>
      <c r="E5" s="3" t="s">
        <v>17</v>
      </c>
      <c r="F5" s="5" t="s">
        <v>19</v>
      </c>
      <c r="G5" s="5">
        <v>5</v>
      </c>
      <c r="H5" s="6">
        <v>95000</v>
      </c>
      <c r="I5" s="7">
        <f>H5*G5</f>
        <v>475000</v>
      </c>
    </row>
    <row r="6" spans="1:10" x14ac:dyDescent="0.25">
      <c r="A6" s="3">
        <v>5</v>
      </c>
      <c r="B6" s="4">
        <v>43497</v>
      </c>
      <c r="C6" s="3" t="s">
        <v>20</v>
      </c>
      <c r="D6" s="3" t="s">
        <v>21</v>
      </c>
      <c r="E6" s="3" t="s">
        <v>17</v>
      </c>
      <c r="F6" s="5" t="s">
        <v>19</v>
      </c>
      <c r="G6" s="5">
        <v>5</v>
      </c>
      <c r="H6" s="6">
        <v>95000</v>
      </c>
      <c r="I6" s="7">
        <f>H6*G6</f>
        <v>475000</v>
      </c>
    </row>
    <row r="7" spans="1:10" x14ac:dyDescent="0.25">
      <c r="A7" s="3">
        <v>6</v>
      </c>
      <c r="B7" s="4">
        <v>43497</v>
      </c>
      <c r="C7" s="3" t="s">
        <v>22</v>
      </c>
      <c r="D7" s="3" t="s">
        <v>23</v>
      </c>
      <c r="E7" s="3" t="s">
        <v>11</v>
      </c>
      <c r="F7" s="5" t="s">
        <v>14</v>
      </c>
      <c r="G7" s="5">
        <v>10</v>
      </c>
      <c r="H7" s="6">
        <v>145000</v>
      </c>
      <c r="I7" s="7">
        <f>H7*G7</f>
        <v>1450000</v>
      </c>
    </row>
    <row r="8" spans="1:10" x14ac:dyDescent="0.25">
      <c r="A8" s="3">
        <v>7</v>
      </c>
      <c r="B8" s="4">
        <v>43497</v>
      </c>
      <c r="C8" s="3" t="s">
        <v>24</v>
      </c>
      <c r="D8" s="3" t="s">
        <v>25</v>
      </c>
      <c r="E8" s="3" t="s">
        <v>26</v>
      </c>
      <c r="F8" s="5" t="s">
        <v>19</v>
      </c>
      <c r="G8" s="5">
        <v>7</v>
      </c>
      <c r="H8" s="6">
        <v>130000</v>
      </c>
      <c r="I8" s="7">
        <f>H8*G8</f>
        <v>910000</v>
      </c>
    </row>
    <row r="9" spans="1:10" x14ac:dyDescent="0.25">
      <c r="A9" s="3">
        <v>8</v>
      </c>
      <c r="B9" s="4">
        <v>43498</v>
      </c>
      <c r="C9" s="3" t="s">
        <v>9</v>
      </c>
      <c r="D9" s="3" t="s">
        <v>10</v>
      </c>
      <c r="E9" s="3" t="s">
        <v>17</v>
      </c>
      <c r="F9" s="5" t="s">
        <v>14</v>
      </c>
      <c r="G9" s="5">
        <v>7</v>
      </c>
      <c r="H9" s="6">
        <v>100000</v>
      </c>
      <c r="I9" s="7">
        <f>H9*G9</f>
        <v>700000</v>
      </c>
    </row>
    <row r="10" spans="1:10" x14ac:dyDescent="0.25">
      <c r="A10" s="3">
        <v>9</v>
      </c>
      <c r="B10" s="4">
        <v>43498</v>
      </c>
      <c r="C10" s="3" t="s">
        <v>13</v>
      </c>
      <c r="D10" s="3" t="s">
        <v>10</v>
      </c>
      <c r="E10" s="3" t="s">
        <v>11</v>
      </c>
      <c r="F10" s="5" t="s">
        <v>14</v>
      </c>
      <c r="G10" s="5">
        <v>5</v>
      </c>
      <c r="H10" s="6">
        <v>145000</v>
      </c>
      <c r="I10" s="7">
        <f>H10*G10</f>
        <v>725000</v>
      </c>
    </row>
    <row r="11" spans="1:10" x14ac:dyDescent="0.25">
      <c r="A11" s="3">
        <v>10</v>
      </c>
      <c r="B11" s="4">
        <v>43498</v>
      </c>
      <c r="C11" s="3" t="s">
        <v>15</v>
      </c>
      <c r="D11" s="3" t="s">
        <v>16</v>
      </c>
      <c r="E11" s="3" t="s">
        <v>26</v>
      </c>
      <c r="F11" s="5" t="s">
        <v>14</v>
      </c>
      <c r="G11" s="5">
        <v>9</v>
      </c>
      <c r="H11" s="6">
        <v>140000</v>
      </c>
      <c r="I11" s="7">
        <f>H11*G11</f>
        <v>1260000</v>
      </c>
    </row>
    <row r="12" spans="1:10" x14ac:dyDescent="0.25">
      <c r="A12" s="3">
        <v>11</v>
      </c>
      <c r="B12" s="4">
        <v>43498</v>
      </c>
      <c r="C12" s="3" t="s">
        <v>27</v>
      </c>
      <c r="D12" s="3" t="s">
        <v>21</v>
      </c>
      <c r="E12" s="3" t="s">
        <v>11</v>
      </c>
      <c r="F12" s="5" t="s">
        <v>19</v>
      </c>
      <c r="G12" s="5">
        <v>10</v>
      </c>
      <c r="H12" s="6">
        <v>135000</v>
      </c>
      <c r="I12" s="7">
        <f>H12*G12</f>
        <v>1350000</v>
      </c>
    </row>
    <row r="13" spans="1:10" x14ac:dyDescent="0.25">
      <c r="A13" s="3">
        <v>12</v>
      </c>
      <c r="B13" s="4">
        <v>43499</v>
      </c>
      <c r="C13" s="3" t="s">
        <v>28</v>
      </c>
      <c r="D13" s="3" t="s">
        <v>29</v>
      </c>
      <c r="E13" s="3" t="s">
        <v>26</v>
      </c>
      <c r="F13" s="5" t="s">
        <v>14</v>
      </c>
      <c r="G13" s="5">
        <v>6</v>
      </c>
      <c r="H13" s="6">
        <v>140000</v>
      </c>
      <c r="I13" s="7">
        <f>H13*G13</f>
        <v>840000</v>
      </c>
    </row>
    <row r="14" spans="1:10" x14ac:dyDescent="0.25">
      <c r="A14" s="3">
        <v>13</v>
      </c>
      <c r="B14" s="4">
        <v>43499</v>
      </c>
      <c r="C14" s="3" t="s">
        <v>9</v>
      </c>
      <c r="D14" s="3" t="s">
        <v>10</v>
      </c>
      <c r="E14" s="3" t="s">
        <v>17</v>
      </c>
      <c r="F14" s="5" t="s">
        <v>19</v>
      </c>
      <c r="G14" s="5">
        <v>1</v>
      </c>
      <c r="H14" s="6">
        <v>95000</v>
      </c>
      <c r="I14" s="7">
        <f>H14*G14</f>
        <v>95000</v>
      </c>
    </row>
    <row r="15" spans="1:10" x14ac:dyDescent="0.25">
      <c r="A15" s="3">
        <v>14</v>
      </c>
      <c r="B15" s="4">
        <v>43499</v>
      </c>
      <c r="C15" s="3" t="s">
        <v>13</v>
      </c>
      <c r="D15" s="3" t="s">
        <v>10</v>
      </c>
      <c r="E15" s="3" t="s">
        <v>26</v>
      </c>
      <c r="F15" s="5" t="s">
        <v>12</v>
      </c>
      <c r="G15" s="5">
        <v>5</v>
      </c>
      <c r="H15" s="6">
        <v>120000</v>
      </c>
      <c r="I15" s="7">
        <f>H15*G15</f>
        <v>600000</v>
      </c>
    </row>
    <row r="16" spans="1:10" x14ac:dyDescent="0.25">
      <c r="A16" s="3">
        <v>15</v>
      </c>
      <c r="B16" s="4">
        <v>43499</v>
      </c>
      <c r="C16" s="3" t="s">
        <v>15</v>
      </c>
      <c r="D16" s="3" t="s">
        <v>16</v>
      </c>
      <c r="E16" s="3" t="s">
        <v>11</v>
      </c>
      <c r="F16" s="5" t="s">
        <v>19</v>
      </c>
      <c r="G16" s="5">
        <v>9</v>
      </c>
      <c r="H16" s="6">
        <v>135000</v>
      </c>
      <c r="I16" s="7">
        <f>H16*G16</f>
        <v>1215000</v>
      </c>
    </row>
    <row r="17" spans="1:9" x14ac:dyDescent="0.25">
      <c r="A17" s="3">
        <v>16</v>
      </c>
      <c r="B17" s="4">
        <v>43500</v>
      </c>
      <c r="C17" s="3" t="s">
        <v>28</v>
      </c>
      <c r="D17" s="3" t="s">
        <v>29</v>
      </c>
      <c r="E17" s="3" t="s">
        <v>11</v>
      </c>
      <c r="F17" s="5" t="s">
        <v>12</v>
      </c>
      <c r="G17" s="5">
        <v>7</v>
      </c>
      <c r="H17" s="6">
        <v>125000</v>
      </c>
      <c r="I17" s="7">
        <f>H17*G17</f>
        <v>875000</v>
      </c>
    </row>
    <row r="18" spans="1:9" x14ac:dyDescent="0.25">
      <c r="A18" s="3">
        <v>17</v>
      </c>
      <c r="B18" s="4">
        <v>43500</v>
      </c>
      <c r="C18" s="3" t="s">
        <v>30</v>
      </c>
      <c r="D18" s="3" t="s">
        <v>16</v>
      </c>
      <c r="E18" s="3" t="s">
        <v>26</v>
      </c>
      <c r="F18" s="5" t="s">
        <v>19</v>
      </c>
      <c r="G18" s="5">
        <v>2</v>
      </c>
      <c r="H18" s="6">
        <v>130000</v>
      </c>
      <c r="I18" s="7">
        <f>H18*G18</f>
        <v>260000</v>
      </c>
    </row>
    <row r="19" spans="1:9" x14ac:dyDescent="0.25">
      <c r="A19" s="3">
        <v>18</v>
      </c>
      <c r="B19" s="4">
        <v>43500</v>
      </c>
      <c r="C19" s="3" t="s">
        <v>9</v>
      </c>
      <c r="D19" s="3" t="s">
        <v>10</v>
      </c>
      <c r="E19" s="3" t="s">
        <v>26</v>
      </c>
      <c r="F19" s="5" t="s">
        <v>12</v>
      </c>
      <c r="G19" s="5">
        <v>3</v>
      </c>
      <c r="H19" s="6">
        <v>120000</v>
      </c>
      <c r="I19" s="7">
        <f>H19*G19</f>
        <v>360000</v>
      </c>
    </row>
    <row r="20" spans="1:9" x14ac:dyDescent="0.25">
      <c r="A20" s="3">
        <v>19</v>
      </c>
      <c r="B20" s="4">
        <v>43500</v>
      </c>
      <c r="C20" s="3" t="s">
        <v>13</v>
      </c>
      <c r="D20" s="3" t="s">
        <v>10</v>
      </c>
      <c r="E20" s="3" t="s">
        <v>26</v>
      </c>
      <c r="F20" s="5" t="s">
        <v>12</v>
      </c>
      <c r="G20" s="5">
        <v>3</v>
      </c>
      <c r="H20" s="6">
        <v>120000</v>
      </c>
      <c r="I20" s="7">
        <f>H20*G20</f>
        <v>360000</v>
      </c>
    </row>
    <row r="21" spans="1:9" x14ac:dyDescent="0.25">
      <c r="A21" s="3">
        <v>20</v>
      </c>
      <c r="B21" s="4">
        <v>43500</v>
      </c>
      <c r="C21" s="3" t="s">
        <v>15</v>
      </c>
      <c r="D21" s="3" t="s">
        <v>16</v>
      </c>
      <c r="E21" s="3" t="s">
        <v>17</v>
      </c>
      <c r="F21" s="5" t="s">
        <v>14</v>
      </c>
      <c r="G21" s="5">
        <v>10</v>
      </c>
      <c r="H21" s="6">
        <v>100000</v>
      </c>
      <c r="I21" s="7">
        <f>H21*G21</f>
        <v>1000000</v>
      </c>
    </row>
    <row r="22" spans="1:9" x14ac:dyDescent="0.25">
      <c r="A22" s="3">
        <v>21</v>
      </c>
      <c r="B22" s="4">
        <v>43500</v>
      </c>
      <c r="C22" s="3" t="s">
        <v>18</v>
      </c>
      <c r="D22" s="3" t="s">
        <v>16</v>
      </c>
      <c r="E22" s="3" t="s">
        <v>17</v>
      </c>
      <c r="F22" s="5" t="s">
        <v>19</v>
      </c>
      <c r="G22" s="5">
        <v>7</v>
      </c>
      <c r="H22" s="6">
        <v>95000</v>
      </c>
      <c r="I22" s="7">
        <f>H22*G22</f>
        <v>665000</v>
      </c>
    </row>
    <row r="23" spans="1:9" x14ac:dyDescent="0.25">
      <c r="A23" s="3">
        <v>22</v>
      </c>
      <c r="B23" s="4">
        <v>43500</v>
      </c>
      <c r="C23" s="3" t="s">
        <v>20</v>
      </c>
      <c r="D23" s="3" t="s">
        <v>21</v>
      </c>
      <c r="E23" s="3" t="s">
        <v>26</v>
      </c>
      <c r="F23" s="5" t="s">
        <v>12</v>
      </c>
      <c r="G23" s="5">
        <v>10</v>
      </c>
      <c r="H23" s="6">
        <v>120000</v>
      </c>
      <c r="I23" s="7">
        <f>H23*G23</f>
        <v>1200000</v>
      </c>
    </row>
    <row r="24" spans="1:9" x14ac:dyDescent="0.25">
      <c r="A24" s="3">
        <v>23</v>
      </c>
      <c r="B24" s="4">
        <v>43500</v>
      </c>
      <c r="C24" s="3" t="s">
        <v>22</v>
      </c>
      <c r="D24" s="3" t="s">
        <v>23</v>
      </c>
      <c r="E24" s="3" t="s">
        <v>26</v>
      </c>
      <c r="F24" s="5" t="s">
        <v>12</v>
      </c>
      <c r="G24" s="5">
        <v>3</v>
      </c>
      <c r="H24" s="6">
        <v>120000</v>
      </c>
      <c r="I24" s="7">
        <f>H24*G24</f>
        <v>360000</v>
      </c>
    </row>
    <row r="25" spans="1:9" x14ac:dyDescent="0.25">
      <c r="A25" s="3">
        <v>24</v>
      </c>
      <c r="B25" s="4">
        <v>43500</v>
      </c>
      <c r="C25" s="3" t="s">
        <v>24</v>
      </c>
      <c r="D25" s="3" t="s">
        <v>25</v>
      </c>
      <c r="E25" s="3" t="s">
        <v>11</v>
      </c>
      <c r="F25" s="5" t="s">
        <v>12</v>
      </c>
      <c r="G25" s="5">
        <v>5</v>
      </c>
      <c r="H25" s="6">
        <v>125000</v>
      </c>
      <c r="I25" s="7">
        <f>H25*G25</f>
        <v>625000</v>
      </c>
    </row>
    <row r="26" spans="1:9" x14ac:dyDescent="0.25">
      <c r="A26" s="3">
        <v>25</v>
      </c>
      <c r="B26" s="4">
        <v>43500</v>
      </c>
      <c r="C26" s="3" t="s">
        <v>27</v>
      </c>
      <c r="D26" s="3" t="s">
        <v>21</v>
      </c>
      <c r="E26" s="3" t="s">
        <v>17</v>
      </c>
      <c r="F26" s="5" t="s">
        <v>14</v>
      </c>
      <c r="G26" s="5">
        <v>9</v>
      </c>
      <c r="H26" s="6">
        <v>100000</v>
      </c>
      <c r="I26" s="7">
        <f>H26*G26</f>
        <v>900000</v>
      </c>
    </row>
    <row r="27" spans="1:9" x14ac:dyDescent="0.25">
      <c r="A27" s="3">
        <v>26</v>
      </c>
      <c r="B27" s="4">
        <v>43501</v>
      </c>
      <c r="C27" s="3" t="s">
        <v>28</v>
      </c>
      <c r="D27" s="3" t="s">
        <v>29</v>
      </c>
      <c r="E27" s="3" t="s">
        <v>11</v>
      </c>
      <c r="F27" s="5" t="s">
        <v>19</v>
      </c>
      <c r="G27" s="5">
        <v>10</v>
      </c>
      <c r="H27" s="6">
        <v>135000</v>
      </c>
      <c r="I27" s="7">
        <f>H27*G27</f>
        <v>1350000</v>
      </c>
    </row>
    <row r="28" spans="1:9" x14ac:dyDescent="0.25">
      <c r="A28" s="3">
        <v>27</v>
      </c>
      <c r="B28" s="4">
        <v>43501</v>
      </c>
      <c r="C28" s="3" t="s">
        <v>31</v>
      </c>
      <c r="D28" s="3" t="s">
        <v>29</v>
      </c>
      <c r="E28" s="3" t="s">
        <v>17</v>
      </c>
      <c r="F28" s="5" t="s">
        <v>19</v>
      </c>
      <c r="G28" s="5">
        <v>10</v>
      </c>
      <c r="H28" s="6">
        <v>95000</v>
      </c>
      <c r="I28" s="7">
        <f>H28*G28</f>
        <v>950000</v>
      </c>
    </row>
    <row r="29" spans="1:9" x14ac:dyDescent="0.25">
      <c r="A29" s="3">
        <v>28</v>
      </c>
      <c r="B29" s="4">
        <v>43501</v>
      </c>
      <c r="C29" s="3" t="s">
        <v>30</v>
      </c>
      <c r="D29" s="3" t="s">
        <v>16</v>
      </c>
      <c r="E29" s="3" t="s">
        <v>26</v>
      </c>
      <c r="F29" s="5" t="s">
        <v>14</v>
      </c>
      <c r="G29" s="5">
        <v>5</v>
      </c>
      <c r="H29" s="6">
        <v>140000</v>
      </c>
      <c r="I29" s="7">
        <f>H29*G29</f>
        <v>700000</v>
      </c>
    </row>
    <row r="30" spans="1:9" x14ac:dyDescent="0.25">
      <c r="A30" s="3">
        <v>29</v>
      </c>
      <c r="B30" s="4">
        <v>43501</v>
      </c>
      <c r="C30" s="3" t="s">
        <v>9</v>
      </c>
      <c r="D30" s="3" t="s">
        <v>10</v>
      </c>
      <c r="E30" s="3" t="s">
        <v>17</v>
      </c>
      <c r="F30" s="5" t="s">
        <v>19</v>
      </c>
      <c r="G30" s="5">
        <v>5</v>
      </c>
      <c r="H30" s="6">
        <v>95000</v>
      </c>
      <c r="I30" s="7">
        <f>H30*G30</f>
        <v>475000</v>
      </c>
    </row>
    <row r="31" spans="1:9" x14ac:dyDescent="0.25">
      <c r="A31" s="3">
        <v>30</v>
      </c>
      <c r="B31" s="4">
        <v>43501</v>
      </c>
      <c r="C31" s="3" t="s">
        <v>13</v>
      </c>
      <c r="D31" s="3" t="s">
        <v>10</v>
      </c>
      <c r="E31" s="3" t="s">
        <v>17</v>
      </c>
      <c r="F31" s="5" t="s">
        <v>14</v>
      </c>
      <c r="G31" s="5">
        <v>5</v>
      </c>
      <c r="H31" s="6">
        <v>100000</v>
      </c>
      <c r="I31" s="7">
        <f>H31*G31</f>
        <v>500000</v>
      </c>
    </row>
    <row r="32" spans="1:9" x14ac:dyDescent="0.25">
      <c r="A32" s="3">
        <v>31</v>
      </c>
      <c r="B32" s="4">
        <v>43501</v>
      </c>
      <c r="C32" s="3" t="s">
        <v>15</v>
      </c>
      <c r="D32" s="3" t="s">
        <v>16</v>
      </c>
      <c r="E32" s="3" t="s">
        <v>17</v>
      </c>
      <c r="F32" s="5" t="s">
        <v>12</v>
      </c>
      <c r="G32" s="5">
        <v>4</v>
      </c>
      <c r="H32" s="6">
        <v>90000</v>
      </c>
      <c r="I32" s="7">
        <f>H32*G32</f>
        <v>360000</v>
      </c>
    </row>
    <row r="33" spans="1:9" x14ac:dyDescent="0.25">
      <c r="A33" s="3">
        <v>32</v>
      </c>
      <c r="B33" s="4">
        <v>43501</v>
      </c>
      <c r="C33" s="3" t="s">
        <v>18</v>
      </c>
      <c r="D33" s="3" t="s">
        <v>16</v>
      </c>
      <c r="E33" s="3" t="s">
        <v>17</v>
      </c>
      <c r="F33" s="5" t="s">
        <v>12</v>
      </c>
      <c r="G33" s="5">
        <v>10</v>
      </c>
      <c r="H33" s="6">
        <v>90000</v>
      </c>
      <c r="I33" s="7">
        <f>H33*G33</f>
        <v>900000</v>
      </c>
    </row>
    <row r="34" spans="1:9" x14ac:dyDescent="0.25">
      <c r="A34" s="3">
        <v>33</v>
      </c>
      <c r="B34" s="4">
        <v>43501</v>
      </c>
      <c r="C34" s="3" t="s">
        <v>20</v>
      </c>
      <c r="D34" s="3" t="s">
        <v>21</v>
      </c>
      <c r="E34" s="3" t="s">
        <v>17</v>
      </c>
      <c r="F34" s="5" t="s">
        <v>14</v>
      </c>
      <c r="G34" s="5">
        <v>2</v>
      </c>
      <c r="H34" s="6">
        <v>100000</v>
      </c>
      <c r="I34" s="7">
        <f>H34*G34</f>
        <v>200000</v>
      </c>
    </row>
    <row r="35" spans="1:9" x14ac:dyDescent="0.25">
      <c r="A35" s="3">
        <v>34</v>
      </c>
      <c r="B35" s="4">
        <v>43501</v>
      </c>
      <c r="C35" s="3" t="s">
        <v>22</v>
      </c>
      <c r="D35" s="3" t="s">
        <v>23</v>
      </c>
      <c r="E35" s="3" t="s">
        <v>26</v>
      </c>
      <c r="F35" s="5" t="s">
        <v>19</v>
      </c>
      <c r="G35" s="5">
        <v>6</v>
      </c>
      <c r="H35" s="6">
        <v>130000</v>
      </c>
      <c r="I35" s="7">
        <f>H35*G35</f>
        <v>780000</v>
      </c>
    </row>
    <row r="36" spans="1:9" x14ac:dyDescent="0.25">
      <c r="A36" s="3">
        <v>35</v>
      </c>
      <c r="B36" s="4">
        <v>43501</v>
      </c>
      <c r="C36" s="3" t="s">
        <v>24</v>
      </c>
      <c r="D36" s="3" t="s">
        <v>25</v>
      </c>
      <c r="E36" s="3" t="s">
        <v>26</v>
      </c>
      <c r="F36" s="5" t="s">
        <v>19</v>
      </c>
      <c r="G36" s="5">
        <v>6</v>
      </c>
      <c r="H36" s="6">
        <v>130000</v>
      </c>
      <c r="I36" s="7">
        <f>H36*G36</f>
        <v>780000</v>
      </c>
    </row>
    <row r="37" spans="1:9" x14ac:dyDescent="0.25">
      <c r="A37" s="3">
        <v>36</v>
      </c>
      <c r="B37" s="4">
        <v>43501</v>
      </c>
      <c r="C37" s="3" t="s">
        <v>27</v>
      </c>
      <c r="D37" s="3" t="s">
        <v>21</v>
      </c>
      <c r="E37" s="3" t="s">
        <v>17</v>
      </c>
      <c r="F37" s="5" t="s">
        <v>14</v>
      </c>
      <c r="G37" s="5">
        <v>7</v>
      </c>
      <c r="H37" s="6">
        <v>100000</v>
      </c>
      <c r="I37" s="7">
        <f>H37*G37</f>
        <v>700000</v>
      </c>
    </row>
    <row r="38" spans="1:9" x14ac:dyDescent="0.25">
      <c r="A38" s="3">
        <v>37</v>
      </c>
      <c r="B38" s="4">
        <v>43502</v>
      </c>
      <c r="C38" s="3" t="s">
        <v>28</v>
      </c>
      <c r="D38" s="3" t="s">
        <v>29</v>
      </c>
      <c r="E38" s="3" t="s">
        <v>26</v>
      </c>
      <c r="F38" s="5" t="s">
        <v>12</v>
      </c>
      <c r="G38" s="5">
        <v>4</v>
      </c>
      <c r="H38" s="6">
        <v>120000</v>
      </c>
      <c r="I38" s="7">
        <f>H38*G38</f>
        <v>480000</v>
      </c>
    </row>
    <row r="39" spans="1:9" x14ac:dyDescent="0.25">
      <c r="A39" s="3">
        <v>38</v>
      </c>
      <c r="B39" s="4">
        <v>43502</v>
      </c>
      <c r="C39" s="3" t="s">
        <v>31</v>
      </c>
      <c r="D39" s="3" t="s">
        <v>29</v>
      </c>
      <c r="E39" s="3" t="s">
        <v>17</v>
      </c>
      <c r="F39" s="5" t="s">
        <v>14</v>
      </c>
      <c r="G39" s="5">
        <v>8</v>
      </c>
      <c r="H39" s="6">
        <v>100000</v>
      </c>
      <c r="I39" s="7">
        <f>H39*G39</f>
        <v>800000</v>
      </c>
    </row>
    <row r="40" spans="1:9" x14ac:dyDescent="0.25">
      <c r="A40" s="3">
        <v>39</v>
      </c>
      <c r="B40" s="4">
        <v>43502</v>
      </c>
      <c r="C40" s="3" t="s">
        <v>30</v>
      </c>
      <c r="D40" s="3" t="s">
        <v>16</v>
      </c>
      <c r="E40" s="3" t="s">
        <v>17</v>
      </c>
      <c r="F40" s="5" t="s">
        <v>12</v>
      </c>
      <c r="G40" s="5">
        <v>3</v>
      </c>
      <c r="H40" s="6">
        <v>90000</v>
      </c>
      <c r="I40" s="7">
        <f>H40*G40</f>
        <v>270000</v>
      </c>
    </row>
    <row r="41" spans="1:9" x14ac:dyDescent="0.25">
      <c r="A41" s="3">
        <v>40</v>
      </c>
      <c r="B41" s="4">
        <v>43502</v>
      </c>
      <c r="C41" s="3" t="s">
        <v>9</v>
      </c>
      <c r="D41" s="3" t="s">
        <v>10</v>
      </c>
      <c r="E41" s="3" t="s">
        <v>26</v>
      </c>
      <c r="F41" s="5" t="s">
        <v>12</v>
      </c>
      <c r="G41" s="5">
        <v>10</v>
      </c>
      <c r="H41" s="6">
        <v>120000</v>
      </c>
      <c r="I41" s="7">
        <f>H41*G41</f>
        <v>1200000</v>
      </c>
    </row>
    <row r="42" spans="1:9" x14ac:dyDescent="0.25">
      <c r="A42" s="3">
        <v>41</v>
      </c>
      <c r="B42" s="4">
        <v>43502</v>
      </c>
      <c r="C42" s="3" t="s">
        <v>13</v>
      </c>
      <c r="D42" s="3" t="s">
        <v>10</v>
      </c>
      <c r="E42" s="3" t="s">
        <v>26</v>
      </c>
      <c r="F42" s="5" t="s">
        <v>12</v>
      </c>
      <c r="G42" s="5">
        <v>10</v>
      </c>
      <c r="H42" s="6">
        <v>120000</v>
      </c>
      <c r="I42" s="7">
        <f>H42*G42</f>
        <v>1200000</v>
      </c>
    </row>
    <row r="43" spans="1:9" x14ac:dyDescent="0.25">
      <c r="A43" s="3">
        <v>42</v>
      </c>
      <c r="B43" s="4">
        <v>43502</v>
      </c>
      <c r="C43" s="3" t="s">
        <v>15</v>
      </c>
      <c r="D43" s="3" t="s">
        <v>16</v>
      </c>
      <c r="E43" s="3" t="s">
        <v>11</v>
      </c>
      <c r="F43" s="5" t="s">
        <v>14</v>
      </c>
      <c r="G43" s="5">
        <v>9</v>
      </c>
      <c r="H43" s="6">
        <v>145000</v>
      </c>
      <c r="I43" s="7">
        <f>H43*G43</f>
        <v>1305000</v>
      </c>
    </row>
    <row r="44" spans="1:9" x14ac:dyDescent="0.25">
      <c r="A44" s="3">
        <v>43</v>
      </c>
      <c r="B44" s="4">
        <v>43502</v>
      </c>
      <c r="C44" s="3" t="s">
        <v>18</v>
      </c>
      <c r="D44" s="3" t="s">
        <v>16</v>
      </c>
      <c r="E44" s="3" t="s">
        <v>26</v>
      </c>
      <c r="F44" s="5" t="s">
        <v>19</v>
      </c>
      <c r="G44" s="5">
        <v>3</v>
      </c>
      <c r="H44" s="6">
        <v>130000</v>
      </c>
      <c r="I44" s="7">
        <f>H44*G44</f>
        <v>390000</v>
      </c>
    </row>
    <row r="45" spans="1:9" x14ac:dyDescent="0.25">
      <c r="A45" s="3">
        <v>44</v>
      </c>
      <c r="B45" s="4">
        <v>43502</v>
      </c>
      <c r="C45" s="3" t="s">
        <v>20</v>
      </c>
      <c r="D45" s="3" t="s">
        <v>21</v>
      </c>
      <c r="E45" s="3" t="s">
        <v>26</v>
      </c>
      <c r="F45" s="5" t="s">
        <v>12</v>
      </c>
      <c r="G45" s="5">
        <v>7</v>
      </c>
      <c r="H45" s="6">
        <v>120000</v>
      </c>
      <c r="I45" s="7">
        <f>H45*G45</f>
        <v>840000</v>
      </c>
    </row>
    <row r="46" spans="1:9" x14ac:dyDescent="0.25">
      <c r="A46" s="3">
        <v>45</v>
      </c>
      <c r="B46" s="4">
        <v>43502</v>
      </c>
      <c r="C46" s="3" t="s">
        <v>22</v>
      </c>
      <c r="D46" s="3" t="s">
        <v>23</v>
      </c>
      <c r="E46" s="3" t="s">
        <v>17</v>
      </c>
      <c r="F46" s="5" t="s">
        <v>19</v>
      </c>
      <c r="G46" s="5">
        <v>2</v>
      </c>
      <c r="H46" s="6">
        <v>95000</v>
      </c>
      <c r="I46" s="7">
        <f>H46*G46</f>
        <v>190000</v>
      </c>
    </row>
    <row r="47" spans="1:9" x14ac:dyDescent="0.25">
      <c r="A47" s="3">
        <v>46</v>
      </c>
      <c r="B47" s="4">
        <v>43502</v>
      </c>
      <c r="C47" s="3" t="s">
        <v>24</v>
      </c>
      <c r="D47" s="3" t="s">
        <v>25</v>
      </c>
      <c r="E47" s="3" t="s">
        <v>11</v>
      </c>
      <c r="F47" s="5" t="s">
        <v>14</v>
      </c>
      <c r="G47" s="5">
        <v>1</v>
      </c>
      <c r="H47" s="6">
        <v>145000</v>
      </c>
      <c r="I47" s="7">
        <f>H47*G47</f>
        <v>145000</v>
      </c>
    </row>
    <row r="48" spans="1:9" x14ac:dyDescent="0.25">
      <c r="A48" s="3">
        <v>47</v>
      </c>
      <c r="B48" s="4">
        <v>43502</v>
      </c>
      <c r="C48" s="3" t="s">
        <v>27</v>
      </c>
      <c r="D48" s="3" t="s">
        <v>21</v>
      </c>
      <c r="E48" s="3" t="s">
        <v>26</v>
      </c>
      <c r="F48" s="5" t="s">
        <v>19</v>
      </c>
      <c r="G48" s="5">
        <v>3</v>
      </c>
      <c r="H48" s="6">
        <v>130000</v>
      </c>
      <c r="I48" s="7">
        <f>H48*G48</f>
        <v>390000</v>
      </c>
    </row>
    <row r="49" spans="1:9" x14ac:dyDescent="0.25">
      <c r="A49" s="3">
        <v>48</v>
      </c>
      <c r="B49" s="4">
        <v>43503</v>
      </c>
      <c r="C49" s="3" t="s">
        <v>32</v>
      </c>
      <c r="D49" s="3" t="s">
        <v>33</v>
      </c>
      <c r="E49" s="3" t="s">
        <v>26</v>
      </c>
      <c r="F49" s="5" t="s">
        <v>19</v>
      </c>
      <c r="G49" s="5">
        <v>1</v>
      </c>
      <c r="H49" s="6">
        <v>130000</v>
      </c>
      <c r="I49" s="7">
        <f>H49*G49</f>
        <v>130000</v>
      </c>
    </row>
    <row r="50" spans="1:9" x14ac:dyDescent="0.25">
      <c r="A50" s="3">
        <v>49</v>
      </c>
      <c r="B50" s="4">
        <v>43503</v>
      </c>
      <c r="C50" s="3" t="s">
        <v>28</v>
      </c>
      <c r="D50" s="3" t="s">
        <v>29</v>
      </c>
      <c r="E50" s="3" t="s">
        <v>11</v>
      </c>
      <c r="F50" s="5" t="s">
        <v>12</v>
      </c>
      <c r="G50" s="5">
        <v>2</v>
      </c>
      <c r="H50" s="6">
        <v>125000</v>
      </c>
      <c r="I50" s="7">
        <f>H50*G50</f>
        <v>250000</v>
      </c>
    </row>
    <row r="51" spans="1:9" x14ac:dyDescent="0.25">
      <c r="A51" s="3">
        <v>50</v>
      </c>
      <c r="B51" s="4">
        <v>43503</v>
      </c>
      <c r="C51" s="3" t="s">
        <v>31</v>
      </c>
      <c r="D51" s="3" t="s">
        <v>29</v>
      </c>
      <c r="E51" s="3" t="s">
        <v>26</v>
      </c>
      <c r="F51" s="5" t="s">
        <v>19</v>
      </c>
      <c r="G51" s="5">
        <v>4</v>
      </c>
      <c r="H51" s="6">
        <v>130000</v>
      </c>
      <c r="I51" s="7">
        <f>H51*G51</f>
        <v>520000</v>
      </c>
    </row>
    <row r="52" spans="1:9" x14ac:dyDescent="0.25">
      <c r="A52" s="3">
        <v>51</v>
      </c>
      <c r="B52" s="4">
        <v>43503</v>
      </c>
      <c r="C52" s="3" t="s">
        <v>30</v>
      </c>
      <c r="D52" s="3" t="s">
        <v>16</v>
      </c>
      <c r="E52" s="3" t="s">
        <v>26</v>
      </c>
      <c r="F52" s="5" t="s">
        <v>12</v>
      </c>
      <c r="G52" s="5">
        <v>7</v>
      </c>
      <c r="H52" s="6">
        <v>120000</v>
      </c>
      <c r="I52" s="7">
        <f>H52*G52</f>
        <v>840000</v>
      </c>
    </row>
    <row r="53" spans="1:9" x14ac:dyDescent="0.25">
      <c r="A53" s="3">
        <v>52</v>
      </c>
      <c r="B53" s="4">
        <v>43503</v>
      </c>
      <c r="C53" s="3" t="s">
        <v>9</v>
      </c>
      <c r="D53" s="3" t="s">
        <v>10</v>
      </c>
      <c r="E53" s="3" t="s">
        <v>17</v>
      </c>
      <c r="F53" s="5" t="s">
        <v>14</v>
      </c>
      <c r="G53" s="5">
        <v>4</v>
      </c>
      <c r="H53" s="6">
        <v>100000</v>
      </c>
      <c r="I53" s="7">
        <f>H53*G53</f>
        <v>400000</v>
      </c>
    </row>
    <row r="54" spans="1:9" x14ac:dyDescent="0.25">
      <c r="A54" s="3">
        <v>53</v>
      </c>
      <c r="B54" s="4">
        <v>43503</v>
      </c>
      <c r="C54" s="3" t="s">
        <v>13</v>
      </c>
      <c r="D54" s="3" t="s">
        <v>10</v>
      </c>
      <c r="E54" s="3" t="s">
        <v>17</v>
      </c>
      <c r="F54" s="5" t="s">
        <v>14</v>
      </c>
      <c r="G54" s="5">
        <v>3</v>
      </c>
      <c r="H54" s="6">
        <v>100000</v>
      </c>
      <c r="I54" s="7">
        <f>H54*G54</f>
        <v>300000</v>
      </c>
    </row>
    <row r="55" spans="1:9" x14ac:dyDescent="0.25">
      <c r="A55" s="3">
        <v>54</v>
      </c>
      <c r="B55" s="4">
        <v>43503</v>
      </c>
      <c r="C55" s="3" t="s">
        <v>15</v>
      </c>
      <c r="D55" s="3" t="s">
        <v>16</v>
      </c>
      <c r="E55" s="3" t="s">
        <v>26</v>
      </c>
      <c r="F55" s="5" t="s">
        <v>14</v>
      </c>
      <c r="G55" s="5">
        <v>7</v>
      </c>
      <c r="H55" s="6">
        <v>140000</v>
      </c>
      <c r="I55" s="7">
        <f>H55*G55</f>
        <v>980000</v>
      </c>
    </row>
    <row r="56" spans="1:9" x14ac:dyDescent="0.25">
      <c r="A56" s="3">
        <v>55</v>
      </c>
      <c r="B56" s="4">
        <v>43503</v>
      </c>
      <c r="C56" s="3" t="s">
        <v>18</v>
      </c>
      <c r="D56" s="3" t="s">
        <v>16</v>
      </c>
      <c r="E56" s="3" t="s">
        <v>17</v>
      </c>
      <c r="F56" s="5" t="s">
        <v>14</v>
      </c>
      <c r="G56" s="5">
        <v>9</v>
      </c>
      <c r="H56" s="6">
        <v>100000</v>
      </c>
      <c r="I56" s="7">
        <f>H56*G56</f>
        <v>900000</v>
      </c>
    </row>
    <row r="57" spans="1:9" x14ac:dyDescent="0.25">
      <c r="A57" s="3">
        <v>56</v>
      </c>
      <c r="B57" s="4">
        <v>43503</v>
      </c>
      <c r="C57" s="3" t="s">
        <v>20</v>
      </c>
      <c r="D57" s="3" t="s">
        <v>21</v>
      </c>
      <c r="E57" s="3" t="s">
        <v>26</v>
      </c>
      <c r="F57" s="5" t="s">
        <v>12</v>
      </c>
      <c r="G57" s="5">
        <v>4</v>
      </c>
      <c r="H57" s="6">
        <v>120000</v>
      </c>
      <c r="I57" s="7">
        <f>H57*G57</f>
        <v>480000</v>
      </c>
    </row>
    <row r="58" spans="1:9" x14ac:dyDescent="0.25">
      <c r="A58" s="3">
        <v>57</v>
      </c>
      <c r="B58" s="4">
        <v>43503</v>
      </c>
      <c r="C58" s="3" t="s">
        <v>22</v>
      </c>
      <c r="D58" s="3" t="s">
        <v>23</v>
      </c>
      <c r="E58" s="3" t="s">
        <v>26</v>
      </c>
      <c r="F58" s="5" t="s">
        <v>14</v>
      </c>
      <c r="G58" s="5">
        <v>8</v>
      </c>
      <c r="H58" s="6">
        <v>140000</v>
      </c>
      <c r="I58" s="7">
        <f>H58*G58</f>
        <v>1120000</v>
      </c>
    </row>
    <row r="59" spans="1:9" x14ac:dyDescent="0.25">
      <c r="A59" s="3">
        <v>58</v>
      </c>
      <c r="B59" s="4">
        <v>43503</v>
      </c>
      <c r="C59" s="3" t="s">
        <v>24</v>
      </c>
      <c r="D59" s="3" t="s">
        <v>25</v>
      </c>
      <c r="E59" s="3" t="s">
        <v>26</v>
      </c>
      <c r="F59" s="5" t="s">
        <v>14</v>
      </c>
      <c r="G59" s="5">
        <v>3</v>
      </c>
      <c r="H59" s="6">
        <v>140000</v>
      </c>
      <c r="I59" s="7">
        <f>H59*G59</f>
        <v>420000</v>
      </c>
    </row>
    <row r="60" spans="1:9" x14ac:dyDescent="0.25">
      <c r="A60" s="3">
        <v>59</v>
      </c>
      <c r="B60" s="4">
        <v>43503</v>
      </c>
      <c r="C60" s="3" t="s">
        <v>27</v>
      </c>
      <c r="D60" s="3" t="s">
        <v>21</v>
      </c>
      <c r="E60" s="3" t="s">
        <v>11</v>
      </c>
      <c r="F60" s="5" t="s">
        <v>14</v>
      </c>
      <c r="G60" s="5">
        <v>10</v>
      </c>
      <c r="H60" s="6">
        <v>145000</v>
      </c>
      <c r="I60" s="7">
        <f>H60*G60</f>
        <v>1450000</v>
      </c>
    </row>
    <row r="61" spans="1:9" x14ac:dyDescent="0.25">
      <c r="A61" s="3">
        <v>60</v>
      </c>
      <c r="B61" s="4">
        <v>43504</v>
      </c>
      <c r="C61" s="3" t="s">
        <v>32</v>
      </c>
      <c r="D61" s="3" t="s">
        <v>33</v>
      </c>
      <c r="E61" s="3" t="s">
        <v>11</v>
      </c>
      <c r="F61" s="5" t="s">
        <v>14</v>
      </c>
      <c r="G61" s="5">
        <v>10</v>
      </c>
      <c r="H61" s="6">
        <v>145000</v>
      </c>
      <c r="I61" s="7">
        <f>H61*G61</f>
        <v>1450000</v>
      </c>
    </row>
    <row r="62" spans="1:9" x14ac:dyDescent="0.25">
      <c r="A62" s="3">
        <v>61</v>
      </c>
      <c r="B62" s="4">
        <v>43504</v>
      </c>
      <c r="C62" s="3" t="s">
        <v>28</v>
      </c>
      <c r="D62" s="3" t="s">
        <v>29</v>
      </c>
      <c r="E62" s="3" t="s">
        <v>11</v>
      </c>
      <c r="F62" s="5" t="s">
        <v>12</v>
      </c>
      <c r="G62" s="5">
        <v>10</v>
      </c>
      <c r="H62" s="6">
        <v>125000</v>
      </c>
      <c r="I62" s="7">
        <f>H62*G62</f>
        <v>1250000</v>
      </c>
    </row>
    <row r="63" spans="1:9" x14ac:dyDescent="0.25">
      <c r="A63" s="3">
        <v>62</v>
      </c>
      <c r="B63" s="4">
        <v>43504</v>
      </c>
      <c r="C63" s="3" t="s">
        <v>31</v>
      </c>
      <c r="D63" s="3" t="s">
        <v>29</v>
      </c>
      <c r="E63" s="3" t="s">
        <v>11</v>
      </c>
      <c r="F63" s="5" t="s">
        <v>14</v>
      </c>
      <c r="G63" s="5">
        <v>1</v>
      </c>
      <c r="H63" s="6">
        <v>145000</v>
      </c>
      <c r="I63" s="7">
        <f>H63*G63</f>
        <v>145000</v>
      </c>
    </row>
    <row r="64" spans="1:9" x14ac:dyDescent="0.25">
      <c r="A64" s="3">
        <v>63</v>
      </c>
      <c r="B64" s="4">
        <v>43504</v>
      </c>
      <c r="C64" s="3" t="s">
        <v>30</v>
      </c>
      <c r="D64" s="3" t="s">
        <v>16</v>
      </c>
      <c r="E64" s="3" t="s">
        <v>11</v>
      </c>
      <c r="F64" s="5" t="s">
        <v>12</v>
      </c>
      <c r="G64" s="5">
        <v>5</v>
      </c>
      <c r="H64" s="6">
        <v>125000</v>
      </c>
      <c r="I64" s="7">
        <f>H64*G64</f>
        <v>625000</v>
      </c>
    </row>
    <row r="65" spans="1:9" x14ac:dyDescent="0.25">
      <c r="A65" s="3">
        <v>64</v>
      </c>
      <c r="B65" s="4">
        <v>43504</v>
      </c>
      <c r="C65" s="3" t="s">
        <v>9</v>
      </c>
      <c r="D65" s="3" t="s">
        <v>10</v>
      </c>
      <c r="E65" s="3" t="s">
        <v>11</v>
      </c>
      <c r="F65" s="5" t="s">
        <v>14</v>
      </c>
      <c r="G65" s="5">
        <v>1</v>
      </c>
      <c r="H65" s="6">
        <v>145000</v>
      </c>
      <c r="I65" s="7">
        <f>H65*G65</f>
        <v>145000</v>
      </c>
    </row>
    <row r="66" spans="1:9" x14ac:dyDescent="0.25">
      <c r="A66" s="3">
        <v>65</v>
      </c>
      <c r="B66" s="4">
        <v>43504</v>
      </c>
      <c r="C66" s="3" t="s">
        <v>13</v>
      </c>
      <c r="D66" s="3" t="s">
        <v>10</v>
      </c>
      <c r="E66" s="3" t="s">
        <v>17</v>
      </c>
      <c r="F66" s="5" t="s">
        <v>19</v>
      </c>
      <c r="G66" s="5">
        <v>7</v>
      </c>
      <c r="H66" s="6">
        <v>95000</v>
      </c>
      <c r="I66" s="7">
        <f>H66*G66</f>
        <v>665000</v>
      </c>
    </row>
    <row r="67" spans="1:9" x14ac:dyDescent="0.25">
      <c r="A67" s="3">
        <v>66</v>
      </c>
      <c r="B67" s="4">
        <v>43504</v>
      </c>
      <c r="C67" s="3" t="s">
        <v>15</v>
      </c>
      <c r="D67" s="3" t="s">
        <v>16</v>
      </c>
      <c r="E67" s="3" t="s">
        <v>11</v>
      </c>
      <c r="F67" s="5" t="s">
        <v>19</v>
      </c>
      <c r="G67" s="5">
        <v>4</v>
      </c>
      <c r="H67" s="6">
        <v>135000</v>
      </c>
      <c r="I67" s="7">
        <f>H67*G67</f>
        <v>540000</v>
      </c>
    </row>
    <row r="68" spans="1:9" x14ac:dyDescent="0.25">
      <c r="A68" s="3">
        <v>67</v>
      </c>
      <c r="B68" s="4">
        <v>43504</v>
      </c>
      <c r="C68" s="3" t="s">
        <v>18</v>
      </c>
      <c r="D68" s="3" t="s">
        <v>16</v>
      </c>
      <c r="E68" s="3" t="s">
        <v>17</v>
      </c>
      <c r="F68" s="5" t="s">
        <v>14</v>
      </c>
      <c r="G68" s="5">
        <v>4</v>
      </c>
      <c r="H68" s="6">
        <v>100000</v>
      </c>
      <c r="I68" s="7">
        <f>H68*G68</f>
        <v>400000</v>
      </c>
    </row>
    <row r="69" spans="1:9" x14ac:dyDescent="0.25">
      <c r="A69" s="3">
        <v>68</v>
      </c>
      <c r="B69" s="4">
        <v>43504</v>
      </c>
      <c r="C69" s="3" t="s">
        <v>20</v>
      </c>
      <c r="D69" s="3" t="s">
        <v>21</v>
      </c>
      <c r="E69" s="3" t="s">
        <v>17</v>
      </c>
      <c r="F69" s="5" t="s">
        <v>19</v>
      </c>
      <c r="G69" s="5">
        <v>5</v>
      </c>
      <c r="H69" s="6">
        <v>95000</v>
      </c>
      <c r="I69" s="7">
        <f>H69*G69</f>
        <v>475000</v>
      </c>
    </row>
    <row r="70" spans="1:9" x14ac:dyDescent="0.25">
      <c r="A70" s="3">
        <v>69</v>
      </c>
      <c r="B70" s="4">
        <v>43504</v>
      </c>
      <c r="C70" s="3" t="s">
        <v>22</v>
      </c>
      <c r="D70" s="3" t="s">
        <v>23</v>
      </c>
      <c r="E70" s="3" t="s">
        <v>26</v>
      </c>
      <c r="F70" s="5" t="s">
        <v>14</v>
      </c>
      <c r="G70" s="5">
        <v>6</v>
      </c>
      <c r="H70" s="6">
        <v>140000</v>
      </c>
      <c r="I70" s="7">
        <f>H70*G70</f>
        <v>840000</v>
      </c>
    </row>
    <row r="71" spans="1:9" x14ac:dyDescent="0.25">
      <c r="A71" s="3">
        <v>70</v>
      </c>
      <c r="B71" s="4">
        <v>43504</v>
      </c>
      <c r="C71" s="3" t="s">
        <v>24</v>
      </c>
      <c r="D71" s="3" t="s">
        <v>25</v>
      </c>
      <c r="E71" s="3" t="s">
        <v>17</v>
      </c>
      <c r="F71" s="5" t="s">
        <v>12</v>
      </c>
      <c r="G71" s="5">
        <v>7</v>
      </c>
      <c r="H71" s="6">
        <v>90000</v>
      </c>
      <c r="I71" s="7">
        <f>H71*G71</f>
        <v>630000</v>
      </c>
    </row>
    <row r="72" spans="1:9" x14ac:dyDescent="0.25">
      <c r="A72" s="3">
        <v>71</v>
      </c>
      <c r="B72" s="4">
        <v>43504</v>
      </c>
      <c r="C72" s="3" t="s">
        <v>27</v>
      </c>
      <c r="D72" s="3" t="s">
        <v>21</v>
      </c>
      <c r="E72" s="3" t="s">
        <v>11</v>
      </c>
      <c r="F72" s="5" t="s">
        <v>19</v>
      </c>
      <c r="G72" s="5">
        <v>6</v>
      </c>
      <c r="H72" s="6">
        <v>135000</v>
      </c>
      <c r="I72" s="7">
        <f>H72*G72</f>
        <v>810000</v>
      </c>
    </row>
    <row r="73" spans="1:9" x14ac:dyDescent="0.25">
      <c r="A73" s="3">
        <v>72</v>
      </c>
      <c r="B73" s="4">
        <v>43505</v>
      </c>
      <c r="C73" s="3" t="s">
        <v>9</v>
      </c>
      <c r="D73" s="3" t="s">
        <v>10</v>
      </c>
      <c r="E73" s="3" t="s">
        <v>11</v>
      </c>
      <c r="F73" s="5" t="s">
        <v>12</v>
      </c>
      <c r="G73" s="5">
        <v>2</v>
      </c>
      <c r="H73" s="6">
        <v>125000</v>
      </c>
      <c r="I73" s="7">
        <f>H73*G73</f>
        <v>250000</v>
      </c>
    </row>
    <row r="74" spans="1:9" x14ac:dyDescent="0.25">
      <c r="A74" s="3">
        <v>73</v>
      </c>
      <c r="B74" s="4">
        <v>43505</v>
      </c>
      <c r="C74" s="3" t="s">
        <v>13</v>
      </c>
      <c r="D74" s="3" t="s">
        <v>10</v>
      </c>
      <c r="E74" s="3" t="s">
        <v>11</v>
      </c>
      <c r="F74" s="5" t="s">
        <v>12</v>
      </c>
      <c r="G74" s="5">
        <v>3</v>
      </c>
      <c r="H74" s="6">
        <v>125000</v>
      </c>
      <c r="I74" s="7">
        <f>H74*G74</f>
        <v>375000</v>
      </c>
    </row>
    <row r="75" spans="1:9" x14ac:dyDescent="0.25">
      <c r="A75" s="3">
        <v>74</v>
      </c>
      <c r="B75" s="4">
        <v>43505</v>
      </c>
      <c r="C75" s="3" t="s">
        <v>15</v>
      </c>
      <c r="D75" s="3" t="s">
        <v>16</v>
      </c>
      <c r="E75" s="3" t="s">
        <v>26</v>
      </c>
      <c r="F75" s="5" t="s">
        <v>19</v>
      </c>
      <c r="G75" s="5">
        <v>9</v>
      </c>
      <c r="H75" s="6">
        <v>130000</v>
      </c>
      <c r="I75" s="7">
        <f>H75*G75</f>
        <v>1170000</v>
      </c>
    </row>
    <row r="76" spans="1:9" x14ac:dyDescent="0.25">
      <c r="A76" s="3">
        <v>75</v>
      </c>
      <c r="B76" s="4">
        <v>43506</v>
      </c>
      <c r="C76" s="3" t="s">
        <v>9</v>
      </c>
      <c r="D76" s="3" t="s">
        <v>10</v>
      </c>
      <c r="E76" s="3" t="s">
        <v>26</v>
      </c>
      <c r="F76" s="5" t="s">
        <v>14</v>
      </c>
      <c r="G76" s="5">
        <v>2</v>
      </c>
      <c r="H76" s="6">
        <v>140000</v>
      </c>
      <c r="I76" s="7">
        <f>H76*G76</f>
        <v>280000</v>
      </c>
    </row>
    <row r="77" spans="1:9" x14ac:dyDescent="0.25">
      <c r="A77" s="3">
        <v>76</v>
      </c>
      <c r="B77" s="4">
        <v>43506</v>
      </c>
      <c r="C77" s="3" t="s">
        <v>13</v>
      </c>
      <c r="D77" s="3" t="s">
        <v>10</v>
      </c>
      <c r="E77" s="3" t="s">
        <v>11</v>
      </c>
      <c r="F77" s="5" t="s">
        <v>19</v>
      </c>
      <c r="G77" s="5">
        <v>10</v>
      </c>
      <c r="H77" s="6">
        <v>135000</v>
      </c>
      <c r="I77" s="7">
        <f>H77*G77</f>
        <v>1350000</v>
      </c>
    </row>
    <row r="78" spans="1:9" x14ac:dyDescent="0.25">
      <c r="A78" s="3">
        <v>77</v>
      </c>
      <c r="B78" s="4">
        <v>43506</v>
      </c>
      <c r="C78" s="3" t="s">
        <v>15</v>
      </c>
      <c r="D78" s="3" t="s">
        <v>16</v>
      </c>
      <c r="E78" s="3" t="s">
        <v>11</v>
      </c>
      <c r="F78" s="5" t="s">
        <v>14</v>
      </c>
      <c r="G78" s="5">
        <v>1</v>
      </c>
      <c r="H78" s="6">
        <v>145000</v>
      </c>
      <c r="I78" s="7">
        <f>H78*G78</f>
        <v>145000</v>
      </c>
    </row>
    <row r="79" spans="1:9" x14ac:dyDescent="0.25">
      <c r="A79" s="3">
        <v>78</v>
      </c>
      <c r="B79" s="4">
        <v>43507</v>
      </c>
      <c r="C79" s="3" t="s">
        <v>32</v>
      </c>
      <c r="D79" s="3" t="s">
        <v>33</v>
      </c>
      <c r="E79" s="3" t="s">
        <v>11</v>
      </c>
      <c r="F79" s="5" t="s">
        <v>14</v>
      </c>
      <c r="G79" s="5">
        <v>8</v>
      </c>
      <c r="H79" s="6">
        <v>145000</v>
      </c>
      <c r="I79" s="7">
        <f>H79*G79</f>
        <v>1160000</v>
      </c>
    </row>
    <row r="80" spans="1:9" x14ac:dyDescent="0.25">
      <c r="A80" s="3">
        <v>79</v>
      </c>
      <c r="B80" s="4">
        <v>43507</v>
      </c>
      <c r="C80" s="3" t="s">
        <v>28</v>
      </c>
      <c r="D80" s="3" t="s">
        <v>29</v>
      </c>
      <c r="E80" s="3" t="s">
        <v>11</v>
      </c>
      <c r="F80" s="5" t="s">
        <v>12</v>
      </c>
      <c r="G80" s="5">
        <v>1</v>
      </c>
      <c r="H80" s="6">
        <v>125000</v>
      </c>
      <c r="I80" s="7">
        <f>H80*G80</f>
        <v>125000</v>
      </c>
    </row>
    <row r="81" spans="1:9" x14ac:dyDescent="0.25">
      <c r="A81" s="3">
        <v>80</v>
      </c>
      <c r="B81" s="4">
        <v>43507</v>
      </c>
      <c r="C81" s="3" t="s">
        <v>31</v>
      </c>
      <c r="D81" s="3" t="s">
        <v>29</v>
      </c>
      <c r="E81" s="3" t="s">
        <v>11</v>
      </c>
      <c r="F81" s="5" t="s">
        <v>19</v>
      </c>
      <c r="G81" s="5">
        <v>7</v>
      </c>
      <c r="H81" s="6">
        <v>135000</v>
      </c>
      <c r="I81" s="7">
        <f>H81*G81</f>
        <v>945000</v>
      </c>
    </row>
    <row r="82" spans="1:9" x14ac:dyDescent="0.25">
      <c r="A82" s="3">
        <v>81</v>
      </c>
      <c r="B82" s="4">
        <v>43507</v>
      </c>
      <c r="C82" s="3" t="s">
        <v>30</v>
      </c>
      <c r="D82" s="3" t="s">
        <v>16</v>
      </c>
      <c r="E82" s="3" t="s">
        <v>11</v>
      </c>
      <c r="F82" s="5" t="s">
        <v>14</v>
      </c>
      <c r="G82" s="5">
        <v>1</v>
      </c>
      <c r="H82" s="6">
        <v>145000</v>
      </c>
      <c r="I82" s="7">
        <f>H82*G82</f>
        <v>145000</v>
      </c>
    </row>
    <row r="83" spans="1:9" x14ac:dyDescent="0.25">
      <c r="A83" s="3">
        <v>82</v>
      </c>
      <c r="B83" s="4">
        <v>43507</v>
      </c>
      <c r="C83" s="3" t="s">
        <v>9</v>
      </c>
      <c r="D83" s="3" t="s">
        <v>10</v>
      </c>
      <c r="E83" s="3" t="s">
        <v>17</v>
      </c>
      <c r="F83" s="5" t="s">
        <v>12</v>
      </c>
      <c r="G83" s="5">
        <v>9</v>
      </c>
      <c r="H83" s="6">
        <v>90000</v>
      </c>
      <c r="I83" s="7">
        <f>H83*G83</f>
        <v>810000</v>
      </c>
    </row>
    <row r="84" spans="1:9" x14ac:dyDescent="0.25">
      <c r="A84" s="3">
        <v>83</v>
      </c>
      <c r="B84" s="4">
        <v>43507</v>
      </c>
      <c r="C84" s="3" t="s">
        <v>13</v>
      </c>
      <c r="D84" s="3" t="s">
        <v>10</v>
      </c>
      <c r="E84" s="3" t="s">
        <v>11</v>
      </c>
      <c r="F84" s="5" t="s">
        <v>12</v>
      </c>
      <c r="G84" s="5">
        <v>5</v>
      </c>
      <c r="H84" s="6">
        <v>125000</v>
      </c>
      <c r="I84" s="7">
        <f>H84*G84</f>
        <v>625000</v>
      </c>
    </row>
    <row r="85" spans="1:9" x14ac:dyDescent="0.25">
      <c r="A85" s="3">
        <v>84</v>
      </c>
      <c r="B85" s="4">
        <v>43507</v>
      </c>
      <c r="C85" s="3" t="s">
        <v>15</v>
      </c>
      <c r="D85" s="3" t="s">
        <v>16</v>
      </c>
      <c r="E85" s="3" t="s">
        <v>17</v>
      </c>
      <c r="F85" s="5" t="s">
        <v>14</v>
      </c>
      <c r="G85" s="5">
        <v>7</v>
      </c>
      <c r="H85" s="6">
        <v>100000</v>
      </c>
      <c r="I85" s="7">
        <f>H85*G85</f>
        <v>700000</v>
      </c>
    </row>
    <row r="86" spans="1:9" x14ac:dyDescent="0.25">
      <c r="A86" s="3">
        <v>85</v>
      </c>
      <c r="B86" s="4">
        <v>43507</v>
      </c>
      <c r="C86" s="3" t="s">
        <v>18</v>
      </c>
      <c r="D86" s="3" t="s">
        <v>16</v>
      </c>
      <c r="E86" s="3" t="s">
        <v>26</v>
      </c>
      <c r="F86" s="5" t="s">
        <v>14</v>
      </c>
      <c r="G86" s="5">
        <v>4</v>
      </c>
      <c r="H86" s="6">
        <v>140000</v>
      </c>
      <c r="I86" s="7">
        <f>H86*G86</f>
        <v>560000</v>
      </c>
    </row>
    <row r="87" spans="1:9" x14ac:dyDescent="0.25">
      <c r="A87" s="3">
        <v>86</v>
      </c>
      <c r="B87" s="4">
        <v>43507</v>
      </c>
      <c r="C87" s="3" t="s">
        <v>20</v>
      </c>
      <c r="D87" s="3" t="s">
        <v>21</v>
      </c>
      <c r="E87" s="3" t="s">
        <v>26</v>
      </c>
      <c r="F87" s="5" t="s">
        <v>19</v>
      </c>
      <c r="G87" s="5">
        <v>9</v>
      </c>
      <c r="H87" s="6">
        <v>130000</v>
      </c>
      <c r="I87" s="7">
        <f>H87*G87</f>
        <v>1170000</v>
      </c>
    </row>
    <row r="88" spans="1:9" x14ac:dyDescent="0.25">
      <c r="A88" s="3">
        <v>87</v>
      </c>
      <c r="B88" s="4">
        <v>43507</v>
      </c>
      <c r="C88" s="3" t="s">
        <v>22</v>
      </c>
      <c r="D88" s="3" t="s">
        <v>23</v>
      </c>
      <c r="E88" s="3" t="s">
        <v>11</v>
      </c>
      <c r="F88" s="5" t="s">
        <v>19</v>
      </c>
      <c r="G88" s="5">
        <v>3</v>
      </c>
      <c r="H88" s="6">
        <v>135000</v>
      </c>
      <c r="I88" s="7">
        <f>H88*G88</f>
        <v>405000</v>
      </c>
    </row>
    <row r="89" spans="1:9" x14ac:dyDescent="0.25">
      <c r="A89" s="3">
        <v>88</v>
      </c>
      <c r="B89" s="4">
        <v>43507</v>
      </c>
      <c r="C89" s="3" t="s">
        <v>24</v>
      </c>
      <c r="D89" s="3" t="s">
        <v>25</v>
      </c>
      <c r="E89" s="3" t="s">
        <v>11</v>
      </c>
      <c r="F89" s="5" t="s">
        <v>14</v>
      </c>
      <c r="G89" s="5">
        <v>5</v>
      </c>
      <c r="H89" s="6">
        <v>145000</v>
      </c>
      <c r="I89" s="7">
        <f>H89*G89</f>
        <v>725000</v>
      </c>
    </row>
    <row r="90" spans="1:9" x14ac:dyDescent="0.25">
      <c r="A90" s="3">
        <v>89</v>
      </c>
      <c r="B90" s="4">
        <v>43507</v>
      </c>
      <c r="C90" s="3" t="s">
        <v>27</v>
      </c>
      <c r="D90" s="3" t="s">
        <v>21</v>
      </c>
      <c r="E90" s="3" t="s">
        <v>11</v>
      </c>
      <c r="F90" s="5" t="s">
        <v>14</v>
      </c>
      <c r="G90" s="5">
        <v>9</v>
      </c>
      <c r="H90" s="6">
        <v>145000</v>
      </c>
      <c r="I90" s="7">
        <f>H90*G90</f>
        <v>1305000</v>
      </c>
    </row>
    <row r="91" spans="1:9" x14ac:dyDescent="0.25">
      <c r="A91" s="3">
        <v>90</v>
      </c>
      <c r="B91" s="4">
        <v>43508</v>
      </c>
      <c r="C91" s="3" t="s">
        <v>32</v>
      </c>
      <c r="D91" s="3" t="s">
        <v>33</v>
      </c>
      <c r="E91" s="3" t="s">
        <v>11</v>
      </c>
      <c r="F91" s="5" t="s">
        <v>14</v>
      </c>
      <c r="G91" s="5">
        <v>10</v>
      </c>
      <c r="H91" s="6">
        <v>145000</v>
      </c>
      <c r="I91" s="7">
        <f>H91*G91</f>
        <v>1450000</v>
      </c>
    </row>
    <row r="92" spans="1:9" x14ac:dyDescent="0.25">
      <c r="A92" s="3">
        <v>91</v>
      </c>
      <c r="B92" s="4">
        <v>43508</v>
      </c>
      <c r="C92" s="3" t="s">
        <v>28</v>
      </c>
      <c r="D92" s="3" t="s">
        <v>29</v>
      </c>
      <c r="E92" s="3" t="s">
        <v>11</v>
      </c>
      <c r="F92" s="5" t="s">
        <v>19</v>
      </c>
      <c r="G92" s="5">
        <v>1</v>
      </c>
      <c r="H92" s="6">
        <v>135000</v>
      </c>
      <c r="I92" s="7">
        <f>H92*G92</f>
        <v>135000</v>
      </c>
    </row>
    <row r="93" spans="1:9" x14ac:dyDescent="0.25">
      <c r="A93" s="3">
        <v>92</v>
      </c>
      <c r="B93" s="4">
        <v>43508</v>
      </c>
      <c r="C93" s="3" t="s">
        <v>31</v>
      </c>
      <c r="D93" s="3" t="s">
        <v>29</v>
      </c>
      <c r="E93" s="3" t="s">
        <v>11</v>
      </c>
      <c r="F93" s="5" t="s">
        <v>14</v>
      </c>
      <c r="G93" s="5">
        <v>5</v>
      </c>
      <c r="H93" s="6">
        <v>145000</v>
      </c>
      <c r="I93" s="7">
        <f>H93*G93</f>
        <v>725000</v>
      </c>
    </row>
    <row r="94" spans="1:9" x14ac:dyDescent="0.25">
      <c r="A94" s="3">
        <v>93</v>
      </c>
      <c r="B94" s="4">
        <v>43508</v>
      </c>
      <c r="C94" s="3" t="s">
        <v>30</v>
      </c>
      <c r="D94" s="3" t="s">
        <v>16</v>
      </c>
      <c r="E94" s="3" t="s">
        <v>26</v>
      </c>
      <c r="F94" s="5" t="s">
        <v>19</v>
      </c>
      <c r="G94" s="5">
        <v>2</v>
      </c>
      <c r="H94" s="6">
        <v>130000</v>
      </c>
      <c r="I94" s="7">
        <f>H94*G94</f>
        <v>260000</v>
      </c>
    </row>
    <row r="95" spans="1:9" x14ac:dyDescent="0.25">
      <c r="A95" s="3">
        <v>94</v>
      </c>
      <c r="B95" s="4">
        <v>43508</v>
      </c>
      <c r="C95" s="3" t="s">
        <v>9</v>
      </c>
      <c r="D95" s="3" t="s">
        <v>10</v>
      </c>
      <c r="E95" s="3" t="s">
        <v>26</v>
      </c>
      <c r="F95" s="5" t="s">
        <v>12</v>
      </c>
      <c r="G95" s="5">
        <v>5</v>
      </c>
      <c r="H95" s="6">
        <v>120000</v>
      </c>
      <c r="I95" s="7">
        <f>H95*G95</f>
        <v>600000</v>
      </c>
    </row>
    <row r="96" spans="1:9" x14ac:dyDescent="0.25">
      <c r="A96" s="3">
        <v>95</v>
      </c>
      <c r="B96" s="4">
        <v>43508</v>
      </c>
      <c r="C96" s="3" t="s">
        <v>15</v>
      </c>
      <c r="D96" s="3" t="s">
        <v>16</v>
      </c>
      <c r="E96" s="3" t="s">
        <v>11</v>
      </c>
      <c r="F96" s="5" t="s">
        <v>14</v>
      </c>
      <c r="G96" s="5">
        <v>9</v>
      </c>
      <c r="H96" s="6">
        <v>145000</v>
      </c>
      <c r="I96" s="7">
        <f>H96*G96</f>
        <v>1305000</v>
      </c>
    </row>
    <row r="97" spans="1:9" x14ac:dyDescent="0.25">
      <c r="A97" s="3">
        <v>96</v>
      </c>
      <c r="B97" s="4">
        <v>43508</v>
      </c>
      <c r="C97" s="3" t="s">
        <v>20</v>
      </c>
      <c r="D97" s="3" t="s">
        <v>21</v>
      </c>
      <c r="E97" s="3" t="s">
        <v>11</v>
      </c>
      <c r="F97" s="5" t="s">
        <v>12</v>
      </c>
      <c r="G97" s="5">
        <v>5</v>
      </c>
      <c r="H97" s="6">
        <v>125000</v>
      </c>
      <c r="I97" s="7">
        <f>H97*G97</f>
        <v>625000</v>
      </c>
    </row>
    <row r="98" spans="1:9" x14ac:dyDescent="0.25">
      <c r="A98" s="3">
        <v>97</v>
      </c>
      <c r="B98" s="4">
        <v>43508</v>
      </c>
      <c r="C98" s="3" t="s">
        <v>22</v>
      </c>
      <c r="D98" s="3" t="s">
        <v>23</v>
      </c>
      <c r="E98" s="3" t="s">
        <v>11</v>
      </c>
      <c r="F98" s="5" t="s">
        <v>19</v>
      </c>
      <c r="G98" s="5">
        <v>7</v>
      </c>
      <c r="H98" s="6">
        <v>135000</v>
      </c>
      <c r="I98" s="7">
        <f>H98*G98</f>
        <v>945000</v>
      </c>
    </row>
    <row r="99" spans="1:9" x14ac:dyDescent="0.25">
      <c r="A99" s="3">
        <v>98</v>
      </c>
      <c r="B99" s="4">
        <v>43508</v>
      </c>
      <c r="C99" s="3" t="s">
        <v>24</v>
      </c>
      <c r="D99" s="3" t="s">
        <v>25</v>
      </c>
      <c r="E99" s="3" t="s">
        <v>26</v>
      </c>
      <c r="F99" s="5" t="s">
        <v>14</v>
      </c>
      <c r="G99" s="5">
        <v>2</v>
      </c>
      <c r="H99" s="6">
        <v>140000</v>
      </c>
      <c r="I99" s="7">
        <f>H99*G99</f>
        <v>280000</v>
      </c>
    </row>
    <row r="100" spans="1:9" x14ac:dyDescent="0.25">
      <c r="A100" s="3">
        <v>99</v>
      </c>
      <c r="B100" s="4">
        <v>43508</v>
      </c>
      <c r="C100" s="3" t="s">
        <v>27</v>
      </c>
      <c r="D100" s="3" t="s">
        <v>21</v>
      </c>
      <c r="E100" s="3" t="s">
        <v>17</v>
      </c>
      <c r="F100" s="5" t="s">
        <v>19</v>
      </c>
      <c r="G100" s="5">
        <v>8</v>
      </c>
      <c r="H100" s="6">
        <v>95000</v>
      </c>
      <c r="I100" s="7">
        <f>H100*G100</f>
        <v>760000</v>
      </c>
    </row>
    <row r="101" spans="1:9" x14ac:dyDescent="0.25">
      <c r="A101" s="3">
        <v>100</v>
      </c>
      <c r="B101" s="4">
        <v>43509</v>
      </c>
      <c r="C101" s="3" t="s">
        <v>32</v>
      </c>
      <c r="D101" s="3" t="s">
        <v>33</v>
      </c>
      <c r="E101" s="3" t="s">
        <v>17</v>
      </c>
      <c r="F101" s="5" t="s">
        <v>12</v>
      </c>
      <c r="G101" s="5">
        <v>6</v>
      </c>
      <c r="H101" s="6">
        <v>90000</v>
      </c>
      <c r="I101" s="7">
        <f>H101*G101</f>
        <v>540000</v>
      </c>
    </row>
    <row r="102" spans="1:9" x14ac:dyDescent="0.25">
      <c r="A102" s="3">
        <v>101</v>
      </c>
      <c r="B102" s="4">
        <v>43509</v>
      </c>
      <c r="C102" s="3" t="s">
        <v>28</v>
      </c>
      <c r="D102" s="3" t="s">
        <v>29</v>
      </c>
      <c r="E102" s="3" t="s">
        <v>11</v>
      </c>
      <c r="F102" s="5" t="s">
        <v>12</v>
      </c>
      <c r="G102" s="5">
        <v>4</v>
      </c>
      <c r="H102" s="6">
        <v>125000</v>
      </c>
      <c r="I102" s="7">
        <f>H102*G102</f>
        <v>500000</v>
      </c>
    </row>
    <row r="103" spans="1:9" x14ac:dyDescent="0.25">
      <c r="A103" s="3">
        <v>102</v>
      </c>
      <c r="B103" s="4">
        <v>43509</v>
      </c>
      <c r="C103" s="3" t="s">
        <v>31</v>
      </c>
      <c r="D103" s="3" t="s">
        <v>29</v>
      </c>
      <c r="E103" s="3" t="s">
        <v>11</v>
      </c>
      <c r="F103" s="5" t="s">
        <v>19</v>
      </c>
      <c r="G103" s="5">
        <v>10</v>
      </c>
      <c r="H103" s="6">
        <v>135000</v>
      </c>
      <c r="I103" s="7">
        <f>H103*G103</f>
        <v>1350000</v>
      </c>
    </row>
    <row r="104" spans="1:9" x14ac:dyDescent="0.25">
      <c r="A104" s="3">
        <v>103</v>
      </c>
      <c r="B104" s="4">
        <v>43509</v>
      </c>
      <c r="C104" s="3" t="s">
        <v>30</v>
      </c>
      <c r="D104" s="3" t="s">
        <v>16</v>
      </c>
      <c r="E104" s="3" t="s">
        <v>17</v>
      </c>
      <c r="F104" s="5" t="s">
        <v>19</v>
      </c>
      <c r="G104" s="5">
        <v>6</v>
      </c>
      <c r="H104" s="6">
        <v>95000</v>
      </c>
      <c r="I104" s="7">
        <f>H104*G104</f>
        <v>570000</v>
      </c>
    </row>
    <row r="105" spans="1:9" x14ac:dyDescent="0.25">
      <c r="A105" s="3">
        <v>104</v>
      </c>
      <c r="B105" s="4">
        <v>43509</v>
      </c>
      <c r="C105" s="3" t="s">
        <v>9</v>
      </c>
      <c r="D105" s="3" t="s">
        <v>10</v>
      </c>
      <c r="E105" s="3" t="s">
        <v>17</v>
      </c>
      <c r="F105" s="5" t="s">
        <v>12</v>
      </c>
      <c r="G105" s="5">
        <v>8</v>
      </c>
      <c r="H105" s="6">
        <v>90000</v>
      </c>
      <c r="I105" s="7">
        <f>H105*G105</f>
        <v>720000</v>
      </c>
    </row>
    <row r="106" spans="1:9" x14ac:dyDescent="0.25">
      <c r="A106" s="3">
        <v>105</v>
      </c>
      <c r="B106" s="4">
        <v>43509</v>
      </c>
      <c r="C106" s="3" t="s">
        <v>15</v>
      </c>
      <c r="D106" s="3" t="s">
        <v>16</v>
      </c>
      <c r="E106" s="3" t="s">
        <v>11</v>
      </c>
      <c r="F106" s="5" t="s">
        <v>14</v>
      </c>
      <c r="G106" s="5">
        <v>3</v>
      </c>
      <c r="H106" s="6">
        <v>145000</v>
      </c>
      <c r="I106" s="7">
        <f>H106*G106</f>
        <v>435000</v>
      </c>
    </row>
    <row r="107" spans="1:9" x14ac:dyDescent="0.25">
      <c r="A107" s="3">
        <v>106</v>
      </c>
      <c r="B107" s="4">
        <v>43509</v>
      </c>
      <c r="C107" s="3" t="s">
        <v>20</v>
      </c>
      <c r="D107" s="3" t="s">
        <v>21</v>
      </c>
      <c r="E107" s="3" t="s">
        <v>11</v>
      </c>
      <c r="F107" s="5" t="s">
        <v>14</v>
      </c>
      <c r="G107" s="5">
        <v>6</v>
      </c>
      <c r="H107" s="6">
        <v>145000</v>
      </c>
      <c r="I107" s="7">
        <f>H107*G107</f>
        <v>870000</v>
      </c>
    </row>
    <row r="108" spans="1:9" x14ac:dyDescent="0.25">
      <c r="A108" s="3">
        <v>107</v>
      </c>
      <c r="B108" s="4">
        <v>43509</v>
      </c>
      <c r="C108" s="3" t="s">
        <v>22</v>
      </c>
      <c r="D108" s="3" t="s">
        <v>23</v>
      </c>
      <c r="E108" s="3" t="s">
        <v>26</v>
      </c>
      <c r="F108" s="5" t="s">
        <v>12</v>
      </c>
      <c r="G108" s="5">
        <v>7</v>
      </c>
      <c r="H108" s="6">
        <v>120000</v>
      </c>
      <c r="I108" s="7">
        <f>H108*G108</f>
        <v>840000</v>
      </c>
    </row>
    <row r="109" spans="1:9" x14ac:dyDescent="0.25">
      <c r="A109" s="3">
        <v>108</v>
      </c>
      <c r="B109" s="4">
        <v>43509</v>
      </c>
      <c r="C109" s="3" t="s">
        <v>24</v>
      </c>
      <c r="D109" s="3" t="s">
        <v>25</v>
      </c>
      <c r="E109" s="3" t="s">
        <v>26</v>
      </c>
      <c r="F109" s="5" t="s">
        <v>19</v>
      </c>
      <c r="G109" s="5">
        <v>5</v>
      </c>
      <c r="H109" s="6">
        <v>130000</v>
      </c>
      <c r="I109" s="7">
        <f>H109*G109</f>
        <v>650000</v>
      </c>
    </row>
    <row r="110" spans="1:9" x14ac:dyDescent="0.25">
      <c r="A110" s="3">
        <v>109</v>
      </c>
      <c r="B110" s="4">
        <v>43509</v>
      </c>
      <c r="C110" s="3" t="s">
        <v>27</v>
      </c>
      <c r="D110" s="3" t="s">
        <v>21</v>
      </c>
      <c r="E110" s="3" t="s">
        <v>26</v>
      </c>
      <c r="F110" s="5" t="s">
        <v>12</v>
      </c>
      <c r="G110" s="5">
        <v>3</v>
      </c>
      <c r="H110" s="6">
        <v>120000</v>
      </c>
      <c r="I110" s="7">
        <f>H110*G110</f>
        <v>360000</v>
      </c>
    </row>
    <row r="111" spans="1:9" x14ac:dyDescent="0.25">
      <c r="A111" s="3">
        <v>110</v>
      </c>
      <c r="B111" s="4">
        <v>43510</v>
      </c>
      <c r="C111" s="3" t="s">
        <v>32</v>
      </c>
      <c r="D111" s="3" t="s">
        <v>33</v>
      </c>
      <c r="E111" s="3" t="s">
        <v>11</v>
      </c>
      <c r="F111" s="5" t="s">
        <v>14</v>
      </c>
      <c r="G111" s="5">
        <v>6</v>
      </c>
      <c r="H111" s="6">
        <v>145000</v>
      </c>
      <c r="I111" s="7">
        <f>H111*G111</f>
        <v>870000</v>
      </c>
    </row>
    <row r="112" spans="1:9" x14ac:dyDescent="0.25">
      <c r="A112" s="3">
        <v>111</v>
      </c>
      <c r="B112" s="4">
        <v>43510</v>
      </c>
      <c r="C112" s="3" t="s">
        <v>28</v>
      </c>
      <c r="D112" s="3" t="s">
        <v>29</v>
      </c>
      <c r="E112" s="3" t="s">
        <v>11</v>
      </c>
      <c r="F112" s="5" t="s">
        <v>19</v>
      </c>
      <c r="G112" s="5">
        <v>1</v>
      </c>
      <c r="H112" s="6">
        <v>135000</v>
      </c>
      <c r="I112" s="7">
        <f>H112*G112</f>
        <v>135000</v>
      </c>
    </row>
    <row r="113" spans="1:9" x14ac:dyDescent="0.25">
      <c r="A113" s="3">
        <v>112</v>
      </c>
      <c r="B113" s="4">
        <v>43510</v>
      </c>
      <c r="C113" s="3" t="s">
        <v>31</v>
      </c>
      <c r="D113" s="3" t="s">
        <v>29</v>
      </c>
      <c r="E113" s="3" t="s">
        <v>26</v>
      </c>
      <c r="F113" s="5" t="s">
        <v>19</v>
      </c>
      <c r="G113" s="5">
        <v>2</v>
      </c>
      <c r="H113" s="6">
        <v>130000</v>
      </c>
      <c r="I113" s="7">
        <f>H113*G113</f>
        <v>260000</v>
      </c>
    </row>
    <row r="114" spans="1:9" x14ac:dyDescent="0.25">
      <c r="A114" s="3">
        <v>113</v>
      </c>
      <c r="B114" s="4">
        <v>43510</v>
      </c>
      <c r="C114" s="3" t="s">
        <v>30</v>
      </c>
      <c r="D114" s="3" t="s">
        <v>16</v>
      </c>
      <c r="E114" s="3" t="s">
        <v>17</v>
      </c>
      <c r="F114" s="5" t="s">
        <v>19</v>
      </c>
      <c r="G114" s="5">
        <v>4</v>
      </c>
      <c r="H114" s="6">
        <v>95000</v>
      </c>
      <c r="I114" s="7">
        <f>H114*G114</f>
        <v>380000</v>
      </c>
    </row>
    <row r="115" spans="1:9" x14ac:dyDescent="0.25">
      <c r="A115" s="3">
        <v>114</v>
      </c>
      <c r="B115" s="4">
        <v>43510</v>
      </c>
      <c r="C115" s="3" t="s">
        <v>9</v>
      </c>
      <c r="D115" s="3" t="s">
        <v>10</v>
      </c>
      <c r="E115" s="3" t="s">
        <v>17</v>
      </c>
      <c r="F115" s="5" t="s">
        <v>19</v>
      </c>
      <c r="G115" s="5">
        <v>3</v>
      </c>
      <c r="H115" s="6">
        <v>95000</v>
      </c>
      <c r="I115" s="7">
        <f>H115*G115</f>
        <v>285000</v>
      </c>
    </row>
    <row r="116" spans="1:9" x14ac:dyDescent="0.25">
      <c r="A116" s="3">
        <v>115</v>
      </c>
      <c r="B116" s="4">
        <v>43510</v>
      </c>
      <c r="C116" s="3" t="s">
        <v>15</v>
      </c>
      <c r="D116" s="3" t="s">
        <v>16</v>
      </c>
      <c r="E116" s="3" t="s">
        <v>17</v>
      </c>
      <c r="F116" s="5" t="s">
        <v>14</v>
      </c>
      <c r="G116" s="5">
        <v>9</v>
      </c>
      <c r="H116" s="6">
        <v>100000</v>
      </c>
      <c r="I116" s="7">
        <f>H116*G116</f>
        <v>900000</v>
      </c>
    </row>
    <row r="117" spans="1:9" x14ac:dyDescent="0.25">
      <c r="A117" s="3">
        <v>116</v>
      </c>
      <c r="B117" s="4">
        <v>43510</v>
      </c>
      <c r="C117" s="3" t="s">
        <v>22</v>
      </c>
      <c r="D117" s="3" t="s">
        <v>23</v>
      </c>
      <c r="E117" s="3" t="s">
        <v>26</v>
      </c>
      <c r="F117" s="5" t="s">
        <v>14</v>
      </c>
      <c r="G117" s="5">
        <v>10</v>
      </c>
      <c r="H117" s="6">
        <v>140000</v>
      </c>
      <c r="I117" s="7">
        <f>H117*G117</f>
        <v>1400000</v>
      </c>
    </row>
    <row r="118" spans="1:9" x14ac:dyDescent="0.25">
      <c r="A118" s="3">
        <v>117</v>
      </c>
      <c r="B118" s="4">
        <v>43510</v>
      </c>
      <c r="C118" s="3" t="s">
        <v>24</v>
      </c>
      <c r="D118" s="3" t="s">
        <v>25</v>
      </c>
      <c r="E118" s="3" t="s">
        <v>26</v>
      </c>
      <c r="F118" s="5" t="s">
        <v>14</v>
      </c>
      <c r="G118" s="5">
        <v>10</v>
      </c>
      <c r="H118" s="6">
        <v>140000</v>
      </c>
      <c r="I118" s="7">
        <f>H118*G118</f>
        <v>1400000</v>
      </c>
    </row>
    <row r="119" spans="1:9" x14ac:dyDescent="0.25">
      <c r="A119" s="3">
        <v>118</v>
      </c>
      <c r="B119" s="4">
        <v>43510</v>
      </c>
      <c r="C119" s="3" t="s">
        <v>27</v>
      </c>
      <c r="D119" s="3" t="s">
        <v>21</v>
      </c>
      <c r="E119" s="3" t="s">
        <v>26</v>
      </c>
      <c r="F119" s="5" t="s">
        <v>19</v>
      </c>
      <c r="G119" s="5">
        <v>10</v>
      </c>
      <c r="H119" s="6">
        <v>130000</v>
      </c>
      <c r="I119" s="7">
        <f>H119*G119</f>
        <v>1300000</v>
      </c>
    </row>
    <row r="120" spans="1:9" x14ac:dyDescent="0.25">
      <c r="A120" s="3">
        <v>119</v>
      </c>
      <c r="B120" s="4">
        <v>43511</v>
      </c>
      <c r="C120" s="3" t="s">
        <v>32</v>
      </c>
      <c r="D120" s="3" t="s">
        <v>33</v>
      </c>
      <c r="E120" s="3" t="s">
        <v>26</v>
      </c>
      <c r="F120" s="5" t="s">
        <v>12</v>
      </c>
      <c r="G120" s="5">
        <v>5</v>
      </c>
      <c r="H120" s="6">
        <v>120000</v>
      </c>
      <c r="I120" s="7">
        <f>H120*G120</f>
        <v>600000</v>
      </c>
    </row>
    <row r="121" spans="1:9" x14ac:dyDescent="0.25">
      <c r="A121" s="3">
        <v>120</v>
      </c>
      <c r="B121" s="4">
        <v>43511</v>
      </c>
      <c r="C121" s="3" t="s">
        <v>28</v>
      </c>
      <c r="D121" s="3" t="s">
        <v>29</v>
      </c>
      <c r="E121" s="3" t="s">
        <v>17</v>
      </c>
      <c r="F121" s="5" t="s">
        <v>19</v>
      </c>
      <c r="G121" s="5">
        <v>9</v>
      </c>
      <c r="H121" s="6">
        <v>95000</v>
      </c>
      <c r="I121" s="7">
        <f>H121*G121</f>
        <v>855000</v>
      </c>
    </row>
    <row r="122" spans="1:9" x14ac:dyDescent="0.25">
      <c r="A122" s="3">
        <v>121</v>
      </c>
      <c r="B122" s="4">
        <v>43511</v>
      </c>
      <c r="C122" s="3" t="s">
        <v>31</v>
      </c>
      <c r="D122" s="3" t="s">
        <v>29</v>
      </c>
      <c r="E122" s="3" t="s">
        <v>11</v>
      </c>
      <c r="F122" s="5" t="s">
        <v>14</v>
      </c>
      <c r="G122" s="5">
        <v>3</v>
      </c>
      <c r="H122" s="6">
        <v>145000</v>
      </c>
      <c r="I122" s="7">
        <f>H122*G122</f>
        <v>435000</v>
      </c>
    </row>
    <row r="123" spans="1:9" x14ac:dyDescent="0.25">
      <c r="A123" s="3">
        <v>122</v>
      </c>
      <c r="B123" s="4">
        <v>43511</v>
      </c>
      <c r="C123" s="3" t="s">
        <v>30</v>
      </c>
      <c r="D123" s="3" t="s">
        <v>16</v>
      </c>
      <c r="E123" s="3" t="s">
        <v>26</v>
      </c>
      <c r="F123" s="5" t="s">
        <v>19</v>
      </c>
      <c r="G123" s="5">
        <v>2</v>
      </c>
      <c r="H123" s="6">
        <v>130000</v>
      </c>
      <c r="I123" s="7">
        <f>H123*G123</f>
        <v>260000</v>
      </c>
    </row>
    <row r="124" spans="1:9" x14ac:dyDescent="0.25">
      <c r="A124" s="3">
        <v>123</v>
      </c>
      <c r="B124" s="4">
        <v>43511</v>
      </c>
      <c r="C124" s="3" t="s">
        <v>9</v>
      </c>
      <c r="D124" s="3" t="s">
        <v>10</v>
      </c>
      <c r="E124" s="3" t="s">
        <v>26</v>
      </c>
      <c r="F124" s="5" t="s">
        <v>12</v>
      </c>
      <c r="G124" s="5">
        <v>10</v>
      </c>
      <c r="H124" s="6">
        <v>120000</v>
      </c>
      <c r="I124" s="7">
        <f>H124*G124</f>
        <v>1200000</v>
      </c>
    </row>
    <row r="125" spans="1:9" x14ac:dyDescent="0.25">
      <c r="A125" s="3">
        <v>124</v>
      </c>
      <c r="B125" s="4">
        <v>43511</v>
      </c>
      <c r="C125" s="3" t="s">
        <v>15</v>
      </c>
      <c r="D125" s="3" t="s">
        <v>16</v>
      </c>
      <c r="E125" s="3" t="s">
        <v>26</v>
      </c>
      <c r="F125" s="5" t="s">
        <v>19</v>
      </c>
      <c r="G125" s="5">
        <v>7</v>
      </c>
      <c r="H125" s="6">
        <v>130000</v>
      </c>
      <c r="I125" s="7">
        <f>H125*G125</f>
        <v>910000</v>
      </c>
    </row>
    <row r="126" spans="1:9" x14ac:dyDescent="0.25">
      <c r="A126" s="3">
        <v>125</v>
      </c>
      <c r="B126" s="4">
        <v>43511</v>
      </c>
      <c r="C126" s="3" t="s">
        <v>22</v>
      </c>
      <c r="D126" s="3" t="s">
        <v>23</v>
      </c>
      <c r="E126" s="3" t="s">
        <v>17</v>
      </c>
      <c r="F126" s="5" t="s">
        <v>19</v>
      </c>
      <c r="G126" s="5">
        <v>7</v>
      </c>
      <c r="H126" s="6">
        <v>95000</v>
      </c>
      <c r="I126" s="7">
        <f>H126*G126</f>
        <v>665000</v>
      </c>
    </row>
    <row r="127" spans="1:9" x14ac:dyDescent="0.25">
      <c r="A127" s="3">
        <v>126</v>
      </c>
      <c r="B127" s="4">
        <v>43511</v>
      </c>
      <c r="C127" s="3" t="s">
        <v>24</v>
      </c>
      <c r="D127" s="3" t="s">
        <v>25</v>
      </c>
      <c r="E127" s="3" t="s">
        <v>26</v>
      </c>
      <c r="F127" s="5" t="s">
        <v>14</v>
      </c>
      <c r="G127" s="5">
        <v>10</v>
      </c>
      <c r="H127" s="6">
        <v>140000</v>
      </c>
      <c r="I127" s="7">
        <f>H127*G127</f>
        <v>1400000</v>
      </c>
    </row>
    <row r="128" spans="1:9" x14ac:dyDescent="0.25">
      <c r="A128" s="3">
        <v>127</v>
      </c>
      <c r="B128" s="4">
        <v>43512</v>
      </c>
      <c r="C128" s="3" t="s">
        <v>15</v>
      </c>
      <c r="D128" s="3" t="s">
        <v>16</v>
      </c>
      <c r="E128" s="3" t="s">
        <v>26</v>
      </c>
      <c r="F128" s="5" t="s">
        <v>19</v>
      </c>
      <c r="G128" s="5">
        <v>6</v>
      </c>
      <c r="H128" s="6">
        <v>130000</v>
      </c>
      <c r="I128" s="7">
        <f>H128*G128</f>
        <v>780000</v>
      </c>
    </row>
    <row r="129" spans="1:9" x14ac:dyDescent="0.25">
      <c r="A129" s="3">
        <v>128</v>
      </c>
      <c r="B129" s="4">
        <v>43514</v>
      </c>
      <c r="C129" s="3" t="s">
        <v>32</v>
      </c>
      <c r="D129" s="3" t="s">
        <v>33</v>
      </c>
      <c r="E129" s="3" t="s">
        <v>11</v>
      </c>
      <c r="F129" s="5" t="s">
        <v>14</v>
      </c>
      <c r="G129" s="5">
        <v>9</v>
      </c>
      <c r="H129" s="6">
        <v>145000</v>
      </c>
      <c r="I129" s="7">
        <f>H129*G129</f>
        <v>1305000</v>
      </c>
    </row>
    <row r="130" spans="1:9" x14ac:dyDescent="0.25">
      <c r="A130" s="3">
        <v>129</v>
      </c>
      <c r="B130" s="4">
        <v>43514</v>
      </c>
      <c r="C130" s="3" t="s">
        <v>28</v>
      </c>
      <c r="D130" s="3" t="s">
        <v>29</v>
      </c>
      <c r="E130" s="3" t="s">
        <v>26</v>
      </c>
      <c r="F130" s="5" t="s">
        <v>12</v>
      </c>
      <c r="G130" s="5">
        <v>1</v>
      </c>
      <c r="H130" s="6">
        <v>120000</v>
      </c>
      <c r="I130" s="7">
        <f>H130*G130</f>
        <v>120000</v>
      </c>
    </row>
    <row r="131" spans="1:9" x14ac:dyDescent="0.25">
      <c r="A131" s="3">
        <v>130</v>
      </c>
      <c r="B131" s="4">
        <v>43514</v>
      </c>
      <c r="C131" s="3" t="s">
        <v>31</v>
      </c>
      <c r="D131" s="3" t="s">
        <v>29</v>
      </c>
      <c r="E131" s="3" t="s">
        <v>26</v>
      </c>
      <c r="F131" s="5" t="s">
        <v>14</v>
      </c>
      <c r="G131" s="5">
        <v>5</v>
      </c>
      <c r="H131" s="6">
        <v>140000</v>
      </c>
      <c r="I131" s="7">
        <f>H131*G131</f>
        <v>700000</v>
      </c>
    </row>
    <row r="132" spans="1:9" x14ac:dyDescent="0.25">
      <c r="A132" s="3">
        <v>131</v>
      </c>
      <c r="B132" s="4">
        <v>43514</v>
      </c>
      <c r="C132" s="3" t="s">
        <v>30</v>
      </c>
      <c r="D132" s="3" t="s">
        <v>16</v>
      </c>
      <c r="E132" s="3" t="s">
        <v>17</v>
      </c>
      <c r="F132" s="5" t="s">
        <v>12</v>
      </c>
      <c r="G132" s="5">
        <v>5</v>
      </c>
      <c r="H132" s="6">
        <v>90000</v>
      </c>
      <c r="I132" s="7">
        <f>H132*G132</f>
        <v>450000</v>
      </c>
    </row>
    <row r="133" spans="1:9" x14ac:dyDescent="0.25">
      <c r="A133" s="3">
        <v>132</v>
      </c>
      <c r="B133" s="4">
        <v>43514</v>
      </c>
      <c r="C133" s="3" t="s">
        <v>22</v>
      </c>
      <c r="D133" s="3" t="s">
        <v>23</v>
      </c>
      <c r="E133" s="3" t="s">
        <v>11</v>
      </c>
      <c r="F133" s="5" t="s">
        <v>12</v>
      </c>
      <c r="G133" s="5">
        <v>5</v>
      </c>
      <c r="H133" s="6">
        <v>125000</v>
      </c>
      <c r="I133" s="7">
        <f>H133*G133</f>
        <v>625000</v>
      </c>
    </row>
    <row r="134" spans="1:9" x14ac:dyDescent="0.25">
      <c r="A134" s="3">
        <v>133</v>
      </c>
      <c r="B134" s="4">
        <v>43514</v>
      </c>
      <c r="C134" s="3" t="s">
        <v>24</v>
      </c>
      <c r="D134" s="3" t="s">
        <v>25</v>
      </c>
      <c r="E134" s="3" t="s">
        <v>26</v>
      </c>
      <c r="F134" s="5" t="s">
        <v>12</v>
      </c>
      <c r="G134" s="5">
        <v>7</v>
      </c>
      <c r="H134" s="6">
        <v>120000</v>
      </c>
      <c r="I134" s="7">
        <f>H134*G134</f>
        <v>840000</v>
      </c>
    </row>
    <row r="135" spans="1:9" x14ac:dyDescent="0.25">
      <c r="A135" s="3">
        <v>134</v>
      </c>
      <c r="B135" s="4">
        <v>43515</v>
      </c>
      <c r="C135" s="3" t="s">
        <v>32</v>
      </c>
      <c r="D135" s="3" t="s">
        <v>33</v>
      </c>
      <c r="E135" s="3" t="s">
        <v>11</v>
      </c>
      <c r="F135" s="5" t="s">
        <v>12</v>
      </c>
      <c r="G135" s="5">
        <v>2</v>
      </c>
      <c r="H135" s="6">
        <v>125000</v>
      </c>
      <c r="I135" s="7">
        <f>H135*G135</f>
        <v>250000</v>
      </c>
    </row>
    <row r="136" spans="1:9" x14ac:dyDescent="0.25">
      <c r="A136" s="3">
        <v>135</v>
      </c>
      <c r="B136" s="4">
        <v>43515</v>
      </c>
      <c r="C136" s="3" t="s">
        <v>28</v>
      </c>
      <c r="D136" s="3" t="s">
        <v>29</v>
      </c>
      <c r="E136" s="3" t="s">
        <v>26</v>
      </c>
      <c r="F136" s="5" t="s">
        <v>12</v>
      </c>
      <c r="G136" s="5">
        <v>6</v>
      </c>
      <c r="H136" s="6">
        <v>120000</v>
      </c>
      <c r="I136" s="7">
        <f>H136*G136</f>
        <v>720000</v>
      </c>
    </row>
    <row r="137" spans="1:9" x14ac:dyDescent="0.25">
      <c r="A137" s="3">
        <v>136</v>
      </c>
      <c r="B137" s="4">
        <v>43515</v>
      </c>
      <c r="C137" s="3" t="s">
        <v>31</v>
      </c>
      <c r="D137" s="3" t="s">
        <v>29</v>
      </c>
      <c r="E137" s="3" t="s">
        <v>17</v>
      </c>
      <c r="F137" s="5" t="s">
        <v>14</v>
      </c>
      <c r="G137" s="5">
        <v>1</v>
      </c>
      <c r="H137" s="6">
        <v>100000</v>
      </c>
      <c r="I137" s="7">
        <f>H137*G137</f>
        <v>100000</v>
      </c>
    </row>
    <row r="138" spans="1:9" x14ac:dyDescent="0.25">
      <c r="A138" s="3">
        <v>137</v>
      </c>
      <c r="B138" s="4">
        <v>43515</v>
      </c>
      <c r="C138" s="3" t="s">
        <v>30</v>
      </c>
      <c r="D138" s="3" t="s">
        <v>16</v>
      </c>
      <c r="E138" s="3" t="s">
        <v>17</v>
      </c>
      <c r="F138" s="5" t="s">
        <v>14</v>
      </c>
      <c r="G138" s="5">
        <v>1</v>
      </c>
      <c r="H138" s="6">
        <v>100000</v>
      </c>
      <c r="I138" s="7">
        <f>H138*G138</f>
        <v>100000</v>
      </c>
    </row>
    <row r="139" spans="1:9" x14ac:dyDescent="0.25">
      <c r="A139" s="3">
        <v>138</v>
      </c>
      <c r="B139" s="4">
        <v>43515</v>
      </c>
      <c r="C139" s="3" t="s">
        <v>22</v>
      </c>
      <c r="D139" s="3" t="s">
        <v>23</v>
      </c>
      <c r="E139" s="3" t="s">
        <v>17</v>
      </c>
      <c r="F139" s="5" t="s">
        <v>12</v>
      </c>
      <c r="G139" s="5">
        <v>5</v>
      </c>
      <c r="H139" s="6">
        <v>90000</v>
      </c>
      <c r="I139" s="7">
        <f>H139*G139</f>
        <v>450000</v>
      </c>
    </row>
    <row r="140" spans="1:9" x14ac:dyDescent="0.25">
      <c r="A140" s="3">
        <v>139</v>
      </c>
      <c r="B140" s="4">
        <v>43516</v>
      </c>
      <c r="C140" s="3" t="s">
        <v>32</v>
      </c>
      <c r="D140" s="3" t="s">
        <v>33</v>
      </c>
      <c r="E140" s="3" t="s">
        <v>26</v>
      </c>
      <c r="F140" s="5" t="s">
        <v>14</v>
      </c>
      <c r="G140" s="5">
        <v>8</v>
      </c>
      <c r="H140" s="6">
        <v>140000</v>
      </c>
      <c r="I140" s="7">
        <f>H140*G140</f>
        <v>1120000</v>
      </c>
    </row>
    <row r="141" spans="1:9" x14ac:dyDescent="0.25">
      <c r="A141" s="3">
        <v>140</v>
      </c>
      <c r="B141" s="4">
        <v>43516</v>
      </c>
      <c r="C141" s="3" t="s">
        <v>28</v>
      </c>
      <c r="D141" s="3" t="s">
        <v>29</v>
      </c>
      <c r="E141" s="3" t="s">
        <v>26</v>
      </c>
      <c r="F141" s="5" t="s">
        <v>19</v>
      </c>
      <c r="G141" s="5">
        <v>4</v>
      </c>
      <c r="H141" s="6">
        <v>130000</v>
      </c>
      <c r="I141" s="7">
        <f>H141*G141</f>
        <v>520000</v>
      </c>
    </row>
    <row r="142" spans="1:9" x14ac:dyDescent="0.25">
      <c r="A142" s="3">
        <v>141</v>
      </c>
      <c r="B142" s="4">
        <v>43516</v>
      </c>
      <c r="C142" s="3" t="s">
        <v>30</v>
      </c>
      <c r="D142" s="3" t="s">
        <v>16</v>
      </c>
      <c r="E142" s="3" t="s">
        <v>17</v>
      </c>
      <c r="F142" s="5" t="s">
        <v>14</v>
      </c>
      <c r="G142" s="5">
        <v>10</v>
      </c>
      <c r="H142" s="6">
        <v>100000</v>
      </c>
      <c r="I142" s="7">
        <f>H142*G142</f>
        <v>1000000</v>
      </c>
    </row>
    <row r="143" spans="1:9" x14ac:dyDescent="0.25">
      <c r="A143" s="3">
        <v>142</v>
      </c>
      <c r="B143" s="4">
        <v>43516</v>
      </c>
      <c r="C143" s="3" t="s">
        <v>22</v>
      </c>
      <c r="D143" s="3" t="s">
        <v>23</v>
      </c>
      <c r="E143" s="3" t="s">
        <v>17</v>
      </c>
      <c r="F143" s="5" t="s">
        <v>12</v>
      </c>
      <c r="G143" s="5">
        <v>10</v>
      </c>
      <c r="H143" s="6">
        <v>90000</v>
      </c>
      <c r="I143" s="7">
        <f>H143*G143</f>
        <v>900000</v>
      </c>
    </row>
    <row r="144" spans="1:9" x14ac:dyDescent="0.25">
      <c r="A144" s="3">
        <v>143</v>
      </c>
      <c r="B144" s="4">
        <v>43517</v>
      </c>
      <c r="C144" s="3" t="s">
        <v>32</v>
      </c>
      <c r="D144" s="3" t="s">
        <v>33</v>
      </c>
      <c r="E144" s="3" t="s">
        <v>17</v>
      </c>
      <c r="F144" s="5" t="s">
        <v>14</v>
      </c>
      <c r="G144" s="5">
        <v>2</v>
      </c>
      <c r="H144" s="6">
        <v>100000</v>
      </c>
      <c r="I144" s="7">
        <f>H144*G144</f>
        <v>200000</v>
      </c>
    </row>
    <row r="145" spans="1:9" x14ac:dyDescent="0.25">
      <c r="A145" s="3">
        <v>144</v>
      </c>
      <c r="B145" s="4">
        <v>43517</v>
      </c>
      <c r="C145" s="3" t="s">
        <v>30</v>
      </c>
      <c r="D145" s="3" t="s">
        <v>16</v>
      </c>
      <c r="E145" s="3" t="s">
        <v>17</v>
      </c>
      <c r="F145" s="5" t="s">
        <v>12</v>
      </c>
      <c r="G145" s="5">
        <v>10</v>
      </c>
      <c r="H145" s="6">
        <v>90000</v>
      </c>
      <c r="I145" s="7">
        <f>H145*G145</f>
        <v>900000</v>
      </c>
    </row>
    <row r="146" spans="1:9" x14ac:dyDescent="0.25">
      <c r="A146" s="3">
        <v>145</v>
      </c>
      <c r="B146" s="4">
        <v>43518</v>
      </c>
      <c r="C146" s="3" t="s">
        <v>32</v>
      </c>
      <c r="D146" s="3" t="s">
        <v>33</v>
      </c>
      <c r="E146" s="3" t="s">
        <v>26</v>
      </c>
      <c r="F146" s="5" t="s">
        <v>19</v>
      </c>
      <c r="G146" s="5">
        <v>6</v>
      </c>
      <c r="H146" s="6">
        <v>130000</v>
      </c>
      <c r="I146" s="7">
        <f>H146*G146</f>
        <v>780000</v>
      </c>
    </row>
    <row r="147" spans="1:9" x14ac:dyDescent="0.25">
      <c r="A147" s="3">
        <v>146</v>
      </c>
      <c r="B147" s="4">
        <v>43518</v>
      </c>
      <c r="C147" s="3" t="s">
        <v>30</v>
      </c>
      <c r="D147" s="3" t="s">
        <v>16</v>
      </c>
      <c r="E147" s="3" t="s">
        <v>17</v>
      </c>
      <c r="F147" s="5" t="s">
        <v>14</v>
      </c>
      <c r="G147" s="5">
        <v>9</v>
      </c>
      <c r="H147" s="6">
        <v>100000</v>
      </c>
      <c r="I147" s="7">
        <f>H147*G147</f>
        <v>900000</v>
      </c>
    </row>
    <row r="148" spans="1:9" x14ac:dyDescent="0.25">
      <c r="A148" s="3">
        <v>147</v>
      </c>
      <c r="B148" s="4">
        <v>43521</v>
      </c>
      <c r="C148" s="3" t="s">
        <v>32</v>
      </c>
      <c r="D148" s="3" t="s">
        <v>33</v>
      </c>
      <c r="E148" s="3" t="s">
        <v>11</v>
      </c>
      <c r="F148" s="5" t="s">
        <v>14</v>
      </c>
      <c r="G148" s="5">
        <v>2</v>
      </c>
      <c r="H148" s="6">
        <v>145000</v>
      </c>
      <c r="I148" s="7">
        <f>H148*G148</f>
        <v>290000</v>
      </c>
    </row>
    <row r="149" spans="1:9" x14ac:dyDescent="0.25">
      <c r="A149" s="3">
        <v>148</v>
      </c>
      <c r="B149" s="4">
        <v>43521</v>
      </c>
      <c r="C149" s="3" t="s">
        <v>30</v>
      </c>
      <c r="D149" s="3" t="s">
        <v>16</v>
      </c>
      <c r="E149" s="3" t="s">
        <v>11</v>
      </c>
      <c r="F149" s="5" t="s">
        <v>12</v>
      </c>
      <c r="G149" s="5">
        <v>8</v>
      </c>
      <c r="H149" s="6">
        <v>125000</v>
      </c>
      <c r="I149" s="7">
        <f>H149*G149</f>
        <v>1000000</v>
      </c>
    </row>
    <row r="150" spans="1:9" x14ac:dyDescent="0.25">
      <c r="A150" s="3">
        <v>149</v>
      </c>
      <c r="B150" s="4">
        <v>43522</v>
      </c>
      <c r="C150" s="3" t="s">
        <v>32</v>
      </c>
      <c r="D150" s="3" t="s">
        <v>33</v>
      </c>
      <c r="E150" s="3" t="s">
        <v>11</v>
      </c>
      <c r="F150" s="5" t="s">
        <v>14</v>
      </c>
      <c r="G150" s="5">
        <v>9</v>
      </c>
      <c r="H150" s="6">
        <v>145000</v>
      </c>
      <c r="I150" s="7">
        <f>H150*G150</f>
        <v>1305000</v>
      </c>
    </row>
    <row r="151" spans="1:9" x14ac:dyDescent="0.25">
      <c r="A151" s="3">
        <v>150</v>
      </c>
      <c r="B151" s="4">
        <v>43522</v>
      </c>
      <c r="C151" s="3" t="s">
        <v>30</v>
      </c>
      <c r="D151" s="3" t="s">
        <v>16</v>
      </c>
      <c r="E151" s="3" t="s">
        <v>11</v>
      </c>
      <c r="F151" s="5" t="s">
        <v>12</v>
      </c>
      <c r="G151" s="5">
        <v>3</v>
      </c>
      <c r="H151" s="6">
        <v>125000</v>
      </c>
      <c r="I151" s="7">
        <f>H151*G151</f>
        <v>375000</v>
      </c>
    </row>
  </sheetData>
  <conditionalFormatting sqref="I2:I151">
    <cfRule type="iconSet" priority="1">
      <iconSet iconSet="3Arrows">
        <cfvo type="percent" val="0"/>
        <cfvo type="percent" val="33"/>
        <cfvo type="percent" val="67"/>
      </iconSet>
    </cfRule>
    <cfRule type="cellIs" dxfId="3" priority="2" operator="lessThan">
      <formula>300000</formula>
    </cfRule>
    <cfRule type="cellIs" dxfId="2" priority="3" operator="greaterThan">
      <formula>1000000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018C-851D-4273-9BF2-ECF9E7CEAF14}">
  <dimension ref="A1:I21"/>
  <sheetViews>
    <sheetView workbookViewId="0">
      <selection sqref="A1:E21"/>
    </sheetView>
  </sheetViews>
  <sheetFormatPr defaultRowHeight="15" x14ac:dyDescent="0.25"/>
  <cols>
    <col min="1" max="1" width="3.85546875" bestFit="1" customWidth="1"/>
    <col min="2" max="2" width="10.7109375" customWidth="1"/>
    <col min="3" max="3" width="19.140625" customWidth="1"/>
    <col min="4" max="4" width="16.140625" customWidth="1"/>
    <col min="5" max="5" width="16.85546875" customWidth="1"/>
    <col min="6" max="6" width="15.28515625" customWidth="1"/>
    <col min="8" max="8" width="15.140625" customWidth="1"/>
    <col min="9" max="9" width="11.28515625" customWidth="1"/>
  </cols>
  <sheetData>
    <row r="1" spans="1:9" x14ac:dyDescent="0.25">
      <c r="A1" s="1" t="s">
        <v>0</v>
      </c>
      <c r="B1" s="1" t="s">
        <v>1</v>
      </c>
      <c r="C1" s="1" t="s">
        <v>34</v>
      </c>
      <c r="D1" s="1" t="s">
        <v>41</v>
      </c>
      <c r="E1" s="1" t="s">
        <v>49</v>
      </c>
      <c r="F1" s="1" t="s">
        <v>7</v>
      </c>
      <c r="G1" s="1" t="s">
        <v>6</v>
      </c>
      <c r="H1" s="1" t="s">
        <v>8</v>
      </c>
      <c r="I1" s="2"/>
    </row>
    <row r="2" spans="1:9" x14ac:dyDescent="0.25">
      <c r="A2" s="3">
        <v>1</v>
      </c>
      <c r="B2" s="4">
        <v>43497</v>
      </c>
      <c r="C2" s="3" t="s">
        <v>35</v>
      </c>
      <c r="D2" s="3" t="s">
        <v>40</v>
      </c>
      <c r="E2" s="5" t="s">
        <v>48</v>
      </c>
      <c r="F2" s="6">
        <v>125000</v>
      </c>
      <c r="G2" s="5">
        <v>3</v>
      </c>
      <c r="H2" s="7">
        <f>F2*G2</f>
        <v>375000</v>
      </c>
      <c r="I2" s="8"/>
    </row>
    <row r="3" spans="1:9" x14ac:dyDescent="0.25">
      <c r="A3" s="3">
        <v>2</v>
      </c>
      <c r="B3" s="4">
        <v>43497</v>
      </c>
      <c r="C3" s="3" t="s">
        <v>36</v>
      </c>
      <c r="D3" s="3" t="s">
        <v>40</v>
      </c>
      <c r="E3" s="5" t="s">
        <v>48</v>
      </c>
      <c r="F3" s="6">
        <v>145000</v>
      </c>
      <c r="G3" s="5">
        <v>7</v>
      </c>
      <c r="H3" s="7">
        <f>F3*G3</f>
        <v>1015000</v>
      </c>
    </row>
    <row r="4" spans="1:9" x14ac:dyDescent="0.25">
      <c r="A4" s="3">
        <v>3</v>
      </c>
      <c r="B4" s="4">
        <v>43497</v>
      </c>
      <c r="C4" s="3" t="s">
        <v>37</v>
      </c>
      <c r="D4" s="3" t="s">
        <v>40</v>
      </c>
      <c r="E4" s="5" t="s">
        <v>48</v>
      </c>
      <c r="F4" s="6">
        <v>90000</v>
      </c>
      <c r="G4" s="5">
        <v>1</v>
      </c>
      <c r="H4" s="7">
        <f>F4*G4</f>
        <v>90000</v>
      </c>
    </row>
    <row r="5" spans="1:9" x14ac:dyDescent="0.25">
      <c r="A5" s="3">
        <v>4</v>
      </c>
      <c r="B5" s="4">
        <v>43497</v>
      </c>
      <c r="C5" s="3" t="s">
        <v>38</v>
      </c>
      <c r="D5" s="3" t="s">
        <v>42</v>
      </c>
      <c r="E5" s="5" t="s">
        <v>50</v>
      </c>
      <c r="F5" s="6">
        <v>95000</v>
      </c>
      <c r="G5" s="5">
        <v>5</v>
      </c>
      <c r="H5" s="7">
        <f>F5*G5</f>
        <v>475000</v>
      </c>
    </row>
    <row r="6" spans="1:9" x14ac:dyDescent="0.25">
      <c r="A6" s="3">
        <v>5</v>
      </c>
      <c r="B6" s="4">
        <v>43497</v>
      </c>
      <c r="C6" s="3" t="s">
        <v>39</v>
      </c>
      <c r="D6" s="3" t="s">
        <v>42</v>
      </c>
      <c r="E6" s="5" t="s">
        <v>50</v>
      </c>
      <c r="F6" s="6">
        <v>95000</v>
      </c>
      <c r="G6" s="5">
        <v>5</v>
      </c>
      <c r="H6" s="7">
        <f>F6*G6</f>
        <v>475000</v>
      </c>
    </row>
    <row r="7" spans="1:9" x14ac:dyDescent="0.25">
      <c r="A7" s="3">
        <v>6</v>
      </c>
      <c r="B7" s="4">
        <v>43497</v>
      </c>
      <c r="C7" s="3" t="s">
        <v>35</v>
      </c>
      <c r="D7" s="3" t="s">
        <v>42</v>
      </c>
      <c r="E7" s="5" t="s">
        <v>50</v>
      </c>
      <c r="F7" s="6">
        <v>145000</v>
      </c>
      <c r="G7" s="5">
        <v>10</v>
      </c>
      <c r="H7" s="7">
        <f>F7*G7</f>
        <v>1450000</v>
      </c>
    </row>
    <row r="8" spans="1:9" x14ac:dyDescent="0.25">
      <c r="A8" s="3">
        <v>7</v>
      </c>
      <c r="B8" s="4">
        <v>43497</v>
      </c>
      <c r="C8" s="3" t="s">
        <v>36</v>
      </c>
      <c r="D8" s="3" t="s">
        <v>42</v>
      </c>
      <c r="E8" s="5" t="s">
        <v>50</v>
      </c>
      <c r="F8" s="6">
        <v>130000</v>
      </c>
      <c r="G8" s="5">
        <v>7</v>
      </c>
      <c r="H8" s="7">
        <f>F8*G8</f>
        <v>910000</v>
      </c>
    </row>
    <row r="9" spans="1:9" x14ac:dyDescent="0.25">
      <c r="A9" s="3">
        <v>8</v>
      </c>
      <c r="B9" s="4">
        <v>43498</v>
      </c>
      <c r="C9" s="3" t="s">
        <v>37</v>
      </c>
      <c r="D9" s="3" t="s">
        <v>43</v>
      </c>
      <c r="E9" s="5" t="s">
        <v>51</v>
      </c>
      <c r="F9" s="6">
        <v>100000</v>
      </c>
      <c r="G9" s="5">
        <v>7</v>
      </c>
      <c r="H9" s="7">
        <f>F9*G9</f>
        <v>700000</v>
      </c>
    </row>
    <row r="10" spans="1:9" x14ac:dyDescent="0.25">
      <c r="A10" s="3">
        <v>9</v>
      </c>
      <c r="B10" s="4">
        <v>43498</v>
      </c>
      <c r="C10" s="3" t="s">
        <v>35</v>
      </c>
      <c r="D10" s="3" t="s">
        <v>43</v>
      </c>
      <c r="E10" s="5" t="s">
        <v>51</v>
      </c>
      <c r="F10" s="6">
        <v>145000</v>
      </c>
      <c r="G10" s="5">
        <v>5</v>
      </c>
      <c r="H10" s="7">
        <f>F10*G10</f>
        <v>725000</v>
      </c>
    </row>
    <row r="11" spans="1:9" x14ac:dyDescent="0.25">
      <c r="A11" s="3">
        <v>10</v>
      </c>
      <c r="B11" s="4">
        <v>43498</v>
      </c>
      <c r="C11" s="3" t="s">
        <v>36</v>
      </c>
      <c r="D11" s="3" t="s">
        <v>43</v>
      </c>
      <c r="E11" s="5" t="s">
        <v>51</v>
      </c>
      <c r="F11" s="6">
        <v>140000</v>
      </c>
      <c r="G11" s="5">
        <v>9</v>
      </c>
      <c r="H11" s="7">
        <f>F11*G11</f>
        <v>1260000</v>
      </c>
    </row>
    <row r="12" spans="1:9" x14ac:dyDescent="0.25">
      <c r="A12" s="3">
        <v>11</v>
      </c>
      <c r="B12" s="4">
        <v>43498</v>
      </c>
      <c r="C12" s="3" t="s">
        <v>37</v>
      </c>
      <c r="D12" s="3" t="s">
        <v>44</v>
      </c>
      <c r="E12" s="5" t="s">
        <v>52</v>
      </c>
      <c r="F12" s="6">
        <v>135000</v>
      </c>
      <c r="G12" s="5">
        <v>10</v>
      </c>
      <c r="H12" s="7">
        <f>F12*G12</f>
        <v>1350000</v>
      </c>
    </row>
    <row r="13" spans="1:9" x14ac:dyDescent="0.25">
      <c r="A13" s="3">
        <v>12</v>
      </c>
      <c r="B13" s="4">
        <v>43499</v>
      </c>
      <c r="C13" s="3" t="s">
        <v>35</v>
      </c>
      <c r="D13" s="3" t="s">
        <v>44</v>
      </c>
      <c r="E13" s="5" t="s">
        <v>52</v>
      </c>
      <c r="F13" s="6">
        <v>140000</v>
      </c>
      <c r="G13" s="5">
        <v>6</v>
      </c>
      <c r="H13" s="7">
        <f>F13*G13</f>
        <v>840000</v>
      </c>
    </row>
    <row r="14" spans="1:9" x14ac:dyDescent="0.25">
      <c r="A14" s="3">
        <v>13</v>
      </c>
      <c r="B14" s="4">
        <v>43499</v>
      </c>
      <c r="C14" s="3" t="s">
        <v>36</v>
      </c>
      <c r="D14" s="3" t="s">
        <v>44</v>
      </c>
      <c r="E14" s="5" t="s">
        <v>52</v>
      </c>
      <c r="F14" s="6">
        <v>95000</v>
      </c>
      <c r="G14" s="5">
        <v>1</v>
      </c>
      <c r="H14" s="7">
        <f>F14*G14</f>
        <v>95000</v>
      </c>
    </row>
    <row r="15" spans="1:9" x14ac:dyDescent="0.25">
      <c r="A15" s="3">
        <v>14</v>
      </c>
      <c r="B15" s="4">
        <v>43499</v>
      </c>
      <c r="C15" s="3" t="s">
        <v>37</v>
      </c>
      <c r="D15" s="3" t="s">
        <v>45</v>
      </c>
      <c r="E15" s="5" t="s">
        <v>53</v>
      </c>
      <c r="F15" s="6">
        <v>120000</v>
      </c>
      <c r="G15" s="5">
        <v>5</v>
      </c>
      <c r="H15" s="7">
        <f>F15*G15</f>
        <v>600000</v>
      </c>
    </row>
    <row r="16" spans="1:9" x14ac:dyDescent="0.25">
      <c r="A16" s="3">
        <v>15</v>
      </c>
      <c r="B16" s="4">
        <v>43499</v>
      </c>
      <c r="C16" s="3" t="s">
        <v>38</v>
      </c>
      <c r="D16" s="3" t="s">
        <v>45</v>
      </c>
      <c r="E16" s="5" t="s">
        <v>53</v>
      </c>
      <c r="F16" s="6">
        <v>135000</v>
      </c>
      <c r="G16" s="5">
        <v>9</v>
      </c>
      <c r="H16" s="7">
        <f>F16*G16</f>
        <v>1215000</v>
      </c>
    </row>
    <row r="17" spans="1:8" x14ac:dyDescent="0.25">
      <c r="A17" s="3">
        <v>16</v>
      </c>
      <c r="B17" s="4">
        <v>43500</v>
      </c>
      <c r="C17" s="3" t="s">
        <v>35</v>
      </c>
      <c r="D17" s="3" t="s">
        <v>45</v>
      </c>
      <c r="E17" s="5" t="s">
        <v>53</v>
      </c>
      <c r="F17" s="6">
        <v>125000</v>
      </c>
      <c r="G17" s="5">
        <v>7</v>
      </c>
      <c r="H17" s="7">
        <f>F17*G17</f>
        <v>875000</v>
      </c>
    </row>
    <row r="18" spans="1:8" x14ac:dyDescent="0.25">
      <c r="A18" s="3">
        <v>17</v>
      </c>
      <c r="B18" s="4">
        <v>43500</v>
      </c>
      <c r="C18" s="3" t="s">
        <v>36</v>
      </c>
      <c r="D18" s="3" t="s">
        <v>46</v>
      </c>
      <c r="E18" s="5" t="s">
        <v>54</v>
      </c>
      <c r="F18" s="6">
        <v>130000</v>
      </c>
      <c r="G18" s="5">
        <v>2</v>
      </c>
      <c r="H18" s="7">
        <f>F18*G18</f>
        <v>260000</v>
      </c>
    </row>
    <row r="19" spans="1:8" x14ac:dyDescent="0.25">
      <c r="A19" s="3">
        <v>18</v>
      </c>
      <c r="B19" s="4">
        <v>43500</v>
      </c>
      <c r="C19" s="3" t="s">
        <v>37</v>
      </c>
      <c r="D19" s="3" t="s">
        <v>46</v>
      </c>
      <c r="E19" s="5" t="s">
        <v>54</v>
      </c>
      <c r="F19" s="6">
        <v>120000</v>
      </c>
      <c r="G19" s="5">
        <v>3</v>
      </c>
      <c r="H19" s="7">
        <f>F19*G19</f>
        <v>360000</v>
      </c>
    </row>
    <row r="20" spans="1:8" x14ac:dyDescent="0.25">
      <c r="A20" s="3">
        <v>19</v>
      </c>
      <c r="B20" s="4">
        <v>43500</v>
      </c>
      <c r="C20" s="3" t="s">
        <v>38</v>
      </c>
      <c r="D20" s="3" t="s">
        <v>47</v>
      </c>
      <c r="E20" s="5" t="s">
        <v>55</v>
      </c>
      <c r="F20" s="6">
        <v>120000</v>
      </c>
      <c r="G20" s="5">
        <v>3</v>
      </c>
      <c r="H20" s="7">
        <f>F20*G20</f>
        <v>360000</v>
      </c>
    </row>
    <row r="21" spans="1:8" x14ac:dyDescent="0.25">
      <c r="A21" s="3">
        <v>20</v>
      </c>
      <c r="B21" s="4">
        <v>43500</v>
      </c>
      <c r="C21" s="3" t="s">
        <v>39</v>
      </c>
      <c r="D21" s="3" t="s">
        <v>47</v>
      </c>
      <c r="E21" s="5" t="s">
        <v>55</v>
      </c>
      <c r="F21" s="6">
        <v>100000</v>
      </c>
      <c r="G21" s="5">
        <v>10</v>
      </c>
      <c r="H21" s="7">
        <f>F21*G21</f>
        <v>1000000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57AC-CE79-4793-9B7D-3DFF2BE734E1}">
  <dimension ref="A1:I29"/>
  <sheetViews>
    <sheetView workbookViewId="0">
      <selection activeCell="K14" sqref="K14"/>
    </sheetView>
  </sheetViews>
  <sheetFormatPr defaultRowHeight="15" outlineLevelRow="2" x14ac:dyDescent="0.25"/>
  <cols>
    <col min="1" max="1" width="10.7109375" bestFit="1" customWidth="1"/>
    <col min="2" max="2" width="10.7109375" customWidth="1"/>
    <col min="3" max="3" width="19.140625" customWidth="1"/>
    <col min="4" max="4" width="16.140625" customWidth="1"/>
    <col min="5" max="5" width="16.85546875" customWidth="1"/>
    <col min="6" max="6" width="15.28515625" customWidth="1"/>
    <col min="8" max="8" width="15.140625" customWidth="1"/>
    <col min="9" max="9" width="11.28515625" customWidth="1"/>
  </cols>
  <sheetData>
    <row r="1" spans="1:9" x14ac:dyDescent="0.25">
      <c r="A1" s="1" t="s">
        <v>0</v>
      </c>
      <c r="B1" s="1" t="s">
        <v>1</v>
      </c>
      <c r="C1" s="1" t="s">
        <v>34</v>
      </c>
      <c r="D1" s="1" t="s">
        <v>41</v>
      </c>
      <c r="E1" s="1" t="s">
        <v>49</v>
      </c>
      <c r="F1" s="1" t="s">
        <v>7</v>
      </c>
      <c r="G1" s="1" t="s">
        <v>6</v>
      </c>
      <c r="H1" s="1" t="s">
        <v>8</v>
      </c>
      <c r="I1" s="2"/>
    </row>
    <row r="2" spans="1:9" outlineLevel="2" x14ac:dyDescent="0.25">
      <c r="A2" s="3">
        <v>1</v>
      </c>
      <c r="B2" s="4">
        <v>43497</v>
      </c>
      <c r="C2" s="3" t="s">
        <v>35</v>
      </c>
      <c r="D2" s="3" t="s">
        <v>40</v>
      </c>
      <c r="E2" s="5" t="s">
        <v>48</v>
      </c>
      <c r="F2" s="6">
        <v>125000</v>
      </c>
      <c r="G2" s="5">
        <v>3</v>
      </c>
      <c r="H2" s="7">
        <f>F2*G2</f>
        <v>375000</v>
      </c>
      <c r="I2" s="8"/>
    </row>
    <row r="3" spans="1:9" outlineLevel="2" x14ac:dyDescent="0.25">
      <c r="A3" s="3">
        <v>2</v>
      </c>
      <c r="B3" s="4">
        <v>43497</v>
      </c>
      <c r="C3" s="3" t="s">
        <v>36</v>
      </c>
      <c r="D3" s="3" t="s">
        <v>40</v>
      </c>
      <c r="E3" s="5" t="s">
        <v>48</v>
      </c>
      <c r="F3" s="6">
        <v>145000</v>
      </c>
      <c r="G3" s="5">
        <v>7</v>
      </c>
      <c r="H3" s="7">
        <f>F3*G3</f>
        <v>1015000</v>
      </c>
    </row>
    <row r="4" spans="1:9" outlineLevel="2" x14ac:dyDescent="0.25">
      <c r="A4" s="3">
        <v>3</v>
      </c>
      <c r="B4" s="4">
        <v>43497</v>
      </c>
      <c r="C4" s="3" t="s">
        <v>37</v>
      </c>
      <c r="D4" s="3" t="s">
        <v>40</v>
      </c>
      <c r="E4" s="5" t="s">
        <v>48</v>
      </c>
      <c r="F4" s="6">
        <v>90000</v>
      </c>
      <c r="G4" s="5">
        <v>1</v>
      </c>
      <c r="H4" s="7">
        <f>F4*G4</f>
        <v>90000</v>
      </c>
    </row>
    <row r="5" spans="1:9" outlineLevel="1" x14ac:dyDescent="0.25">
      <c r="A5" s="3"/>
      <c r="B5" s="4"/>
      <c r="C5" s="3"/>
      <c r="D5" s="3"/>
      <c r="E5" s="14" t="s">
        <v>57</v>
      </c>
      <c r="F5" s="6">
        <f>SUBTOTAL(9,F2:F4)</f>
        <v>360000</v>
      </c>
      <c r="G5" s="5">
        <f>SUBTOTAL(9,G2:G4)</f>
        <v>11</v>
      </c>
      <c r="H5" s="7">
        <f>SUBTOTAL(9,H2:H4)</f>
        <v>1480000</v>
      </c>
    </row>
    <row r="6" spans="1:9" outlineLevel="2" x14ac:dyDescent="0.25">
      <c r="A6" s="3">
        <v>4</v>
      </c>
      <c r="B6" s="4">
        <v>43497</v>
      </c>
      <c r="C6" s="3" t="s">
        <v>38</v>
      </c>
      <c r="D6" s="3" t="s">
        <v>42</v>
      </c>
      <c r="E6" s="5" t="s">
        <v>50</v>
      </c>
      <c r="F6" s="6">
        <v>95000</v>
      </c>
      <c r="G6" s="5">
        <v>5</v>
      </c>
      <c r="H6" s="7">
        <f>F6*G6</f>
        <v>475000</v>
      </c>
    </row>
    <row r="7" spans="1:9" outlineLevel="2" x14ac:dyDescent="0.25">
      <c r="A7" s="3">
        <v>5</v>
      </c>
      <c r="B7" s="4">
        <v>43497</v>
      </c>
      <c r="C7" s="3" t="s">
        <v>39</v>
      </c>
      <c r="D7" s="3" t="s">
        <v>42</v>
      </c>
      <c r="E7" s="5" t="s">
        <v>50</v>
      </c>
      <c r="F7" s="6">
        <v>95000</v>
      </c>
      <c r="G7" s="5">
        <v>5</v>
      </c>
      <c r="H7" s="7">
        <f>F7*G7</f>
        <v>475000</v>
      </c>
    </row>
    <row r="8" spans="1:9" outlineLevel="2" x14ac:dyDescent="0.25">
      <c r="A8" s="3">
        <v>6</v>
      </c>
      <c r="B8" s="4">
        <v>43497</v>
      </c>
      <c r="C8" s="3" t="s">
        <v>35</v>
      </c>
      <c r="D8" s="3" t="s">
        <v>42</v>
      </c>
      <c r="E8" s="5" t="s">
        <v>50</v>
      </c>
      <c r="F8" s="6">
        <v>145000</v>
      </c>
      <c r="G8" s="5">
        <v>10</v>
      </c>
      <c r="H8" s="7">
        <f>F8*G8</f>
        <v>1450000</v>
      </c>
    </row>
    <row r="9" spans="1:9" outlineLevel="2" x14ac:dyDescent="0.25">
      <c r="A9" s="3">
        <v>7</v>
      </c>
      <c r="B9" s="4">
        <v>43497</v>
      </c>
      <c r="C9" s="3" t="s">
        <v>36</v>
      </c>
      <c r="D9" s="3" t="s">
        <v>42</v>
      </c>
      <c r="E9" s="5" t="s">
        <v>50</v>
      </c>
      <c r="F9" s="6">
        <v>130000</v>
      </c>
      <c r="G9" s="5">
        <v>7</v>
      </c>
      <c r="H9" s="7">
        <f>F9*G9</f>
        <v>910000</v>
      </c>
    </row>
    <row r="10" spans="1:9" outlineLevel="1" x14ac:dyDescent="0.25">
      <c r="A10" s="3"/>
      <c r="B10" s="4"/>
      <c r="C10" s="3"/>
      <c r="D10" s="3"/>
      <c r="E10" s="14" t="s">
        <v>58</v>
      </c>
      <c r="F10" s="6">
        <f>SUBTOTAL(9,F6:F9)</f>
        <v>465000</v>
      </c>
      <c r="G10" s="5">
        <f>SUBTOTAL(9,G6:G9)</f>
        <v>27</v>
      </c>
      <c r="H10" s="7">
        <f>SUBTOTAL(9,H6:H9)</f>
        <v>3310000</v>
      </c>
    </row>
    <row r="11" spans="1:9" outlineLevel="2" x14ac:dyDescent="0.25">
      <c r="A11" s="3">
        <v>8</v>
      </c>
      <c r="B11" s="4">
        <v>43498</v>
      </c>
      <c r="C11" s="3" t="s">
        <v>37</v>
      </c>
      <c r="D11" s="3" t="s">
        <v>43</v>
      </c>
      <c r="E11" s="5" t="s">
        <v>51</v>
      </c>
      <c r="F11" s="6">
        <v>100000</v>
      </c>
      <c r="G11" s="5">
        <v>7</v>
      </c>
      <c r="H11" s="7">
        <f>F11*G11</f>
        <v>700000</v>
      </c>
    </row>
    <row r="12" spans="1:9" outlineLevel="2" x14ac:dyDescent="0.25">
      <c r="A12" s="3">
        <v>9</v>
      </c>
      <c r="B12" s="4">
        <v>43498</v>
      </c>
      <c r="C12" s="3" t="s">
        <v>35</v>
      </c>
      <c r="D12" s="3" t="s">
        <v>43</v>
      </c>
      <c r="E12" s="5" t="s">
        <v>51</v>
      </c>
      <c r="F12" s="6">
        <v>145000</v>
      </c>
      <c r="G12" s="5">
        <v>5</v>
      </c>
      <c r="H12" s="7">
        <f>F12*G12</f>
        <v>725000</v>
      </c>
    </row>
    <row r="13" spans="1:9" outlineLevel="2" x14ac:dyDescent="0.25">
      <c r="A13" s="3">
        <v>10</v>
      </c>
      <c r="B13" s="4">
        <v>43498</v>
      </c>
      <c r="C13" s="3" t="s">
        <v>36</v>
      </c>
      <c r="D13" s="3" t="s">
        <v>43</v>
      </c>
      <c r="E13" s="5" t="s">
        <v>51</v>
      </c>
      <c r="F13" s="6">
        <v>140000</v>
      </c>
      <c r="G13" s="5">
        <v>9</v>
      </c>
      <c r="H13" s="7">
        <f>F13*G13</f>
        <v>1260000</v>
      </c>
    </row>
    <row r="14" spans="1:9" outlineLevel="1" x14ac:dyDescent="0.25">
      <c r="A14" s="3"/>
      <c r="B14" s="4"/>
      <c r="C14" s="3"/>
      <c r="D14" s="3"/>
      <c r="E14" s="14" t="s">
        <v>59</v>
      </c>
      <c r="F14" s="6">
        <f>SUBTOTAL(9,F11:F13)</f>
        <v>385000</v>
      </c>
      <c r="G14" s="5">
        <f>SUBTOTAL(9,G11:G13)</f>
        <v>21</v>
      </c>
      <c r="H14" s="7">
        <f>SUBTOTAL(9,H11:H13)</f>
        <v>2685000</v>
      </c>
    </row>
    <row r="15" spans="1:9" outlineLevel="2" x14ac:dyDescent="0.25">
      <c r="A15" s="3">
        <v>11</v>
      </c>
      <c r="B15" s="4">
        <v>43498</v>
      </c>
      <c r="C15" s="3" t="s">
        <v>37</v>
      </c>
      <c r="D15" s="3" t="s">
        <v>44</v>
      </c>
      <c r="E15" s="5" t="s">
        <v>52</v>
      </c>
      <c r="F15" s="6">
        <v>135000</v>
      </c>
      <c r="G15" s="5">
        <v>10</v>
      </c>
      <c r="H15" s="7">
        <f>F15*G15</f>
        <v>1350000</v>
      </c>
    </row>
    <row r="16" spans="1:9" outlineLevel="2" x14ac:dyDescent="0.25">
      <c r="A16" s="3">
        <v>12</v>
      </c>
      <c r="B16" s="4">
        <v>43499</v>
      </c>
      <c r="C16" s="3" t="s">
        <v>35</v>
      </c>
      <c r="D16" s="3" t="s">
        <v>44</v>
      </c>
      <c r="E16" s="5" t="s">
        <v>52</v>
      </c>
      <c r="F16" s="6">
        <v>140000</v>
      </c>
      <c r="G16" s="5">
        <v>6</v>
      </c>
      <c r="H16" s="7">
        <f>F16*G16</f>
        <v>840000</v>
      </c>
    </row>
    <row r="17" spans="1:8" outlineLevel="2" x14ac:dyDescent="0.25">
      <c r="A17" s="3">
        <v>13</v>
      </c>
      <c r="B17" s="4">
        <v>43499</v>
      </c>
      <c r="C17" s="3" t="s">
        <v>36</v>
      </c>
      <c r="D17" s="3" t="s">
        <v>44</v>
      </c>
      <c r="E17" s="5" t="s">
        <v>52</v>
      </c>
      <c r="F17" s="6">
        <v>95000</v>
      </c>
      <c r="G17" s="5">
        <v>1</v>
      </c>
      <c r="H17" s="7">
        <f>F17*G17</f>
        <v>95000</v>
      </c>
    </row>
    <row r="18" spans="1:8" outlineLevel="1" x14ac:dyDescent="0.25">
      <c r="A18" s="3"/>
      <c r="B18" s="4"/>
      <c r="C18" s="3"/>
      <c r="D18" s="3"/>
      <c r="E18" s="14" t="s">
        <v>60</v>
      </c>
      <c r="F18" s="6">
        <f>SUBTOTAL(9,F15:F17)</f>
        <v>370000</v>
      </c>
      <c r="G18" s="5">
        <f>SUBTOTAL(9,G15:G17)</f>
        <v>17</v>
      </c>
      <c r="H18" s="7">
        <f>SUBTOTAL(9,H15:H17)</f>
        <v>2285000</v>
      </c>
    </row>
    <row r="19" spans="1:8" outlineLevel="2" x14ac:dyDescent="0.25">
      <c r="A19" s="3">
        <v>14</v>
      </c>
      <c r="B19" s="4">
        <v>43499</v>
      </c>
      <c r="C19" s="3" t="s">
        <v>37</v>
      </c>
      <c r="D19" s="3" t="s">
        <v>45</v>
      </c>
      <c r="E19" s="5" t="s">
        <v>53</v>
      </c>
      <c r="F19" s="6">
        <v>120000</v>
      </c>
      <c r="G19" s="5">
        <v>5</v>
      </c>
      <c r="H19" s="7">
        <f>F19*G19</f>
        <v>600000</v>
      </c>
    </row>
    <row r="20" spans="1:8" outlineLevel="2" x14ac:dyDescent="0.25">
      <c r="A20" s="3">
        <v>15</v>
      </c>
      <c r="B20" s="4">
        <v>43499</v>
      </c>
      <c r="C20" s="3" t="s">
        <v>38</v>
      </c>
      <c r="D20" s="3" t="s">
        <v>45</v>
      </c>
      <c r="E20" s="5" t="s">
        <v>53</v>
      </c>
      <c r="F20" s="6">
        <v>135000</v>
      </c>
      <c r="G20" s="5">
        <v>9</v>
      </c>
      <c r="H20" s="7">
        <f>F20*G20</f>
        <v>1215000</v>
      </c>
    </row>
    <row r="21" spans="1:8" outlineLevel="2" x14ac:dyDescent="0.25">
      <c r="A21" s="3">
        <v>16</v>
      </c>
      <c r="B21" s="4">
        <v>43500</v>
      </c>
      <c r="C21" s="3" t="s">
        <v>35</v>
      </c>
      <c r="D21" s="3" t="s">
        <v>45</v>
      </c>
      <c r="E21" s="5" t="s">
        <v>53</v>
      </c>
      <c r="F21" s="6">
        <v>125000</v>
      </c>
      <c r="G21" s="5">
        <v>7</v>
      </c>
      <c r="H21" s="7">
        <f>F21*G21</f>
        <v>875000</v>
      </c>
    </row>
    <row r="22" spans="1:8" outlineLevel="1" x14ac:dyDescent="0.25">
      <c r="A22" s="3"/>
      <c r="B22" s="4"/>
      <c r="C22" s="3"/>
      <c r="D22" s="3"/>
      <c r="E22" s="14" t="s">
        <v>61</v>
      </c>
      <c r="F22" s="6">
        <f>SUBTOTAL(9,F19:F21)</f>
        <v>380000</v>
      </c>
      <c r="G22" s="5">
        <f>SUBTOTAL(9,G19:G21)</f>
        <v>21</v>
      </c>
      <c r="H22" s="7">
        <f>SUBTOTAL(9,H19:H21)</f>
        <v>2690000</v>
      </c>
    </row>
    <row r="23" spans="1:8" outlineLevel="2" x14ac:dyDescent="0.25">
      <c r="A23" s="3">
        <v>17</v>
      </c>
      <c r="B23" s="4">
        <v>43500</v>
      </c>
      <c r="C23" s="3" t="s">
        <v>36</v>
      </c>
      <c r="D23" s="3" t="s">
        <v>46</v>
      </c>
      <c r="E23" s="5" t="s">
        <v>54</v>
      </c>
      <c r="F23" s="6">
        <v>130000</v>
      </c>
      <c r="G23" s="5">
        <v>2</v>
      </c>
      <c r="H23" s="7">
        <f>F23*G23</f>
        <v>260000</v>
      </c>
    </row>
    <row r="24" spans="1:8" outlineLevel="2" x14ac:dyDescent="0.25">
      <c r="A24" s="3">
        <v>18</v>
      </c>
      <c r="B24" s="4">
        <v>43500</v>
      </c>
      <c r="C24" s="3" t="s">
        <v>37</v>
      </c>
      <c r="D24" s="3" t="s">
        <v>46</v>
      </c>
      <c r="E24" s="5" t="s">
        <v>54</v>
      </c>
      <c r="F24" s="6">
        <v>120000</v>
      </c>
      <c r="G24" s="5">
        <v>3</v>
      </c>
      <c r="H24" s="7">
        <f>F24*G24</f>
        <v>360000</v>
      </c>
    </row>
    <row r="25" spans="1:8" outlineLevel="1" x14ac:dyDescent="0.25">
      <c r="A25" s="3"/>
      <c r="B25" s="4"/>
      <c r="C25" s="3"/>
      <c r="D25" s="3"/>
      <c r="E25" s="14" t="s">
        <v>62</v>
      </c>
      <c r="F25" s="6">
        <f>SUBTOTAL(9,F23:F24)</f>
        <v>250000</v>
      </c>
      <c r="G25" s="5">
        <f>SUBTOTAL(9,G23:G24)</f>
        <v>5</v>
      </c>
      <c r="H25" s="7">
        <f>SUBTOTAL(9,H23:H24)</f>
        <v>620000</v>
      </c>
    </row>
    <row r="26" spans="1:8" outlineLevel="2" x14ac:dyDescent="0.25">
      <c r="A26" s="3">
        <v>19</v>
      </c>
      <c r="B26" s="4">
        <v>43500</v>
      </c>
      <c r="C26" s="3" t="s">
        <v>38</v>
      </c>
      <c r="D26" s="3" t="s">
        <v>47</v>
      </c>
      <c r="E26" s="5" t="s">
        <v>55</v>
      </c>
      <c r="F26" s="6">
        <v>120000</v>
      </c>
      <c r="G26" s="5">
        <v>3</v>
      </c>
      <c r="H26" s="7">
        <f>F26*G26</f>
        <v>360000</v>
      </c>
    </row>
    <row r="27" spans="1:8" outlineLevel="2" x14ac:dyDescent="0.25">
      <c r="A27" s="3">
        <v>20</v>
      </c>
      <c r="B27" s="4">
        <v>43500</v>
      </c>
      <c r="C27" s="3" t="s">
        <v>39</v>
      </c>
      <c r="D27" s="3" t="s">
        <v>47</v>
      </c>
      <c r="E27" s="5" t="s">
        <v>55</v>
      </c>
      <c r="F27" s="6">
        <v>100000</v>
      </c>
      <c r="G27" s="5">
        <v>10</v>
      </c>
      <c r="H27" s="7">
        <f>F27*G27</f>
        <v>1000000</v>
      </c>
    </row>
    <row r="28" spans="1:8" outlineLevel="1" x14ac:dyDescent="0.25">
      <c r="A28" s="9"/>
      <c r="B28" s="10"/>
      <c r="C28" s="9"/>
      <c r="D28" s="9"/>
      <c r="E28" s="15" t="s">
        <v>63</v>
      </c>
      <c r="F28" s="12">
        <f>SUBTOTAL(9,F26:F27)</f>
        <v>220000</v>
      </c>
      <c r="G28" s="11">
        <f>SUBTOTAL(9,G26:G27)</f>
        <v>13</v>
      </c>
      <c r="H28" s="13">
        <f>SUBTOTAL(9,H26:H27)</f>
        <v>1360000</v>
      </c>
    </row>
    <row r="29" spans="1:8" x14ac:dyDescent="0.25">
      <c r="A29" s="9"/>
      <c r="B29" s="10"/>
      <c r="C29" s="9"/>
      <c r="D29" s="9"/>
      <c r="E29" s="15" t="s">
        <v>56</v>
      </c>
      <c r="F29" s="12">
        <f>SUBTOTAL(9,F2:F27)</f>
        <v>2430000</v>
      </c>
      <c r="G29" s="11">
        <f>SUBTOTAL(9,G2:G27)</f>
        <v>115</v>
      </c>
      <c r="H29" s="13">
        <f>SUBTOTAL(9,H2:H27)</f>
        <v>14430000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AB2B-790E-4562-87A4-8216D5A2539E}">
  <dimension ref="A1:E5"/>
  <sheetViews>
    <sheetView zoomScale="190" zoomScaleNormal="190" workbookViewId="0">
      <selection activeCell="D10" sqref="D10"/>
    </sheetView>
  </sheetViews>
  <sheetFormatPr defaultRowHeight="15" x14ac:dyDescent="0.25"/>
  <cols>
    <col min="1" max="1" width="14.140625" bestFit="1" customWidth="1"/>
    <col min="2" max="2" width="14.140625" customWidth="1"/>
    <col min="5" max="5" width="11.85546875" bestFit="1" customWidth="1"/>
  </cols>
  <sheetData>
    <row r="1" spans="1:5" x14ac:dyDescent="0.25">
      <c r="A1" t="s">
        <v>64</v>
      </c>
      <c r="B1" t="s">
        <v>68</v>
      </c>
      <c r="C1" t="s">
        <v>65</v>
      </c>
      <c r="D1" t="s">
        <v>66</v>
      </c>
      <c r="E1" t="s">
        <v>67</v>
      </c>
    </row>
    <row r="2" spans="1:5" x14ac:dyDescent="0.25">
      <c r="B2" t="s">
        <v>69</v>
      </c>
    </row>
    <row r="3" spans="1:5" x14ac:dyDescent="0.25">
      <c r="B3" t="s">
        <v>70</v>
      </c>
    </row>
    <row r="4" spans="1:5" x14ac:dyDescent="0.25">
      <c r="B4" t="s">
        <v>70</v>
      </c>
    </row>
    <row r="5" spans="1:5" x14ac:dyDescent="0.25">
      <c r="B5" t="s">
        <v>70</v>
      </c>
    </row>
  </sheetData>
  <dataValidations count="1">
    <dataValidation type="list" allowBlank="1" showInputMessage="1" showErrorMessage="1" sqref="B2:B7" xr:uid="{BF6655FA-AA0E-4A9F-9888-8B0F994D9E0D}">
      <formula1>"Pria,Wanita"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3ED2-3955-4DC0-91A4-21713FB4FD3E}">
  <dimension ref="A1:E15"/>
  <sheetViews>
    <sheetView zoomScale="190" zoomScaleNormal="190" workbookViewId="0">
      <selection activeCell="D11" sqref="D11"/>
    </sheetView>
  </sheetViews>
  <sheetFormatPr defaultRowHeight="15" x14ac:dyDescent="0.25"/>
  <cols>
    <col min="1" max="1" width="5" customWidth="1"/>
    <col min="2" max="2" width="16" customWidth="1"/>
    <col min="5" max="5" width="30.5703125" customWidth="1"/>
  </cols>
  <sheetData>
    <row r="1" spans="1:5" x14ac:dyDescent="0.25">
      <c r="A1" s="18" t="s">
        <v>0</v>
      </c>
      <c r="B1" s="17" t="s">
        <v>2</v>
      </c>
      <c r="C1" s="18" t="s">
        <v>71</v>
      </c>
      <c r="D1" s="18" t="s">
        <v>72</v>
      </c>
    </row>
    <row r="2" spans="1:5" x14ac:dyDescent="0.25">
      <c r="A2" s="19">
        <v>1</v>
      </c>
      <c r="B2" s="16" t="s">
        <v>75</v>
      </c>
      <c r="C2" s="19">
        <v>60</v>
      </c>
      <c r="D2" s="19">
        <v>90</v>
      </c>
    </row>
    <row r="3" spans="1:5" x14ac:dyDescent="0.25">
      <c r="A3" s="19">
        <v>2</v>
      </c>
      <c r="B3" s="16" t="s">
        <v>76</v>
      </c>
      <c r="C3" s="19">
        <v>60</v>
      </c>
      <c r="D3" s="19">
        <v>80</v>
      </c>
    </row>
    <row r="4" spans="1:5" x14ac:dyDescent="0.25">
      <c r="A4" s="19">
        <v>3</v>
      </c>
      <c r="B4" s="16" t="s">
        <v>73</v>
      </c>
      <c r="C4" s="19">
        <v>80</v>
      </c>
      <c r="D4" s="19">
        <v>70</v>
      </c>
    </row>
    <row r="5" spans="1:5" x14ac:dyDescent="0.25">
      <c r="A5" s="19">
        <v>4</v>
      </c>
      <c r="B5" s="16" t="s">
        <v>77</v>
      </c>
      <c r="C5" s="19">
        <v>90</v>
      </c>
      <c r="D5" s="19">
        <v>60</v>
      </c>
    </row>
    <row r="6" spans="1:5" x14ac:dyDescent="0.25">
      <c r="A6" s="19">
        <v>5</v>
      </c>
      <c r="B6" s="16" t="s">
        <v>74</v>
      </c>
      <c r="C6" s="19">
        <v>100</v>
      </c>
      <c r="D6" s="19">
        <v>60</v>
      </c>
    </row>
    <row r="8" spans="1:5" x14ac:dyDescent="0.25">
      <c r="D8" s="21" t="s">
        <v>78</v>
      </c>
      <c r="E8" s="21" t="s">
        <v>79</v>
      </c>
    </row>
    <row r="9" spans="1:5" x14ac:dyDescent="0.25">
      <c r="D9" s="16" t="e">
        <f>SUM(C2:C6 D2:D6)</f>
        <v>#NULL!</v>
      </c>
      <c r="E9" s="20" t="s">
        <v>80</v>
      </c>
    </row>
    <row r="10" spans="1:5" x14ac:dyDescent="0.25">
      <c r="D10" s="16" t="e">
        <f>(C2+D2)/0</f>
        <v>#DIV/0!</v>
      </c>
      <c r="E10" s="20" t="s">
        <v>81</v>
      </c>
    </row>
    <row r="11" spans="1:5" x14ac:dyDescent="0.25">
      <c r="D11" s="16" t="e">
        <f>B3+C3</f>
        <v>#VALUE!</v>
      </c>
      <c r="E11" s="20" t="s">
        <v>82</v>
      </c>
    </row>
    <row r="12" spans="1:5" x14ac:dyDescent="0.25">
      <c r="D12" s="16" t="e">
        <f>C4+[1]Sheet1!A1</f>
        <v>#REF!</v>
      </c>
      <c r="E12" s="20" t="s">
        <v>83</v>
      </c>
    </row>
    <row r="13" spans="1:5" x14ac:dyDescent="0.25">
      <c r="D13" s="16" t="e">
        <f>SUM(DATA)</f>
        <v>#NAME?</v>
      </c>
      <c r="E13" s="20" t="s">
        <v>84</v>
      </c>
    </row>
    <row r="14" spans="1:5" x14ac:dyDescent="0.25">
      <c r="D14" s="16" t="e">
        <f>10^1000</f>
        <v>#NUM!</v>
      </c>
      <c r="E14" s="20" t="s">
        <v>85</v>
      </c>
    </row>
    <row r="15" spans="1:5" x14ac:dyDescent="0.25">
      <c r="D15" s="16" t="e">
        <f>VLOOKUP("Nama 6",B1:D6,2,)</f>
        <v>#N/A</v>
      </c>
      <c r="E15" s="20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E563-6873-46C6-90C2-88D1424FF1A2}">
  <dimension ref="A1:D21"/>
  <sheetViews>
    <sheetView workbookViewId="0">
      <selection activeCell="K19" sqref="K19"/>
    </sheetView>
  </sheetViews>
  <sheetFormatPr defaultRowHeight="15" x14ac:dyDescent="0.25"/>
  <cols>
    <col min="1" max="1" width="3.85546875" bestFit="1" customWidth="1"/>
    <col min="2" max="2" width="15.42578125" bestFit="1" customWidth="1"/>
    <col min="3" max="3" width="14.85546875" bestFit="1" customWidth="1"/>
    <col min="4" max="4" width="17.5703125" bestFit="1" customWidth="1"/>
  </cols>
  <sheetData>
    <row r="1" spans="1:4" x14ac:dyDescent="0.25">
      <c r="A1" s="1" t="s">
        <v>0</v>
      </c>
      <c r="B1" s="1" t="s">
        <v>34</v>
      </c>
      <c r="C1" s="1" t="s">
        <v>41</v>
      </c>
      <c r="D1" s="1" t="s">
        <v>49</v>
      </c>
    </row>
    <row r="2" spans="1:4" x14ac:dyDescent="0.25">
      <c r="A2" s="3">
        <v>1</v>
      </c>
      <c r="B2" s="3" t="s">
        <v>35</v>
      </c>
      <c r="C2" s="3" t="s">
        <v>40</v>
      </c>
      <c r="D2" s="5" t="s">
        <v>48</v>
      </c>
    </row>
    <row r="3" spans="1:4" x14ac:dyDescent="0.25">
      <c r="A3" s="3">
        <v>2</v>
      </c>
      <c r="B3" s="3" t="s">
        <v>36</v>
      </c>
      <c r="C3" s="3" t="s">
        <v>40</v>
      </c>
      <c r="D3" s="5" t="s">
        <v>48</v>
      </c>
    </row>
    <row r="4" spans="1:4" x14ac:dyDescent="0.25">
      <c r="A4" s="3">
        <v>3</v>
      </c>
      <c r="B4" s="3" t="s">
        <v>37</v>
      </c>
      <c r="C4" s="3" t="s">
        <v>40</v>
      </c>
      <c r="D4" s="5" t="s">
        <v>48</v>
      </c>
    </row>
    <row r="5" spans="1:4" x14ac:dyDescent="0.25">
      <c r="A5" s="3">
        <v>4</v>
      </c>
      <c r="B5" s="3" t="s">
        <v>38</v>
      </c>
      <c r="C5" s="3" t="s">
        <v>42</v>
      </c>
      <c r="D5" s="5" t="s">
        <v>50</v>
      </c>
    </row>
    <row r="6" spans="1:4" x14ac:dyDescent="0.25">
      <c r="A6" s="3">
        <v>5</v>
      </c>
      <c r="B6" s="3" t="s">
        <v>39</v>
      </c>
      <c r="C6" s="3" t="s">
        <v>42</v>
      </c>
      <c r="D6" s="5" t="s">
        <v>50</v>
      </c>
    </row>
    <row r="7" spans="1:4" x14ac:dyDescent="0.25">
      <c r="A7" s="3">
        <v>6</v>
      </c>
      <c r="B7" s="3" t="s">
        <v>35</v>
      </c>
      <c r="C7" s="3" t="s">
        <v>42</v>
      </c>
      <c r="D7" s="5" t="s">
        <v>50</v>
      </c>
    </row>
    <row r="8" spans="1:4" x14ac:dyDescent="0.25">
      <c r="A8" s="3">
        <v>7</v>
      </c>
      <c r="B8" s="3" t="s">
        <v>36</v>
      </c>
      <c r="C8" s="3" t="s">
        <v>42</v>
      </c>
      <c r="D8" s="5" t="s">
        <v>50</v>
      </c>
    </row>
    <row r="9" spans="1:4" x14ac:dyDescent="0.25">
      <c r="A9" s="3">
        <v>8</v>
      </c>
      <c r="B9" s="3" t="s">
        <v>37</v>
      </c>
      <c r="C9" s="3" t="s">
        <v>43</v>
      </c>
      <c r="D9" s="5" t="s">
        <v>51</v>
      </c>
    </row>
    <row r="10" spans="1:4" x14ac:dyDescent="0.25">
      <c r="A10" s="3">
        <v>9</v>
      </c>
      <c r="B10" s="3" t="s">
        <v>35</v>
      </c>
      <c r="C10" s="3" t="s">
        <v>43</v>
      </c>
      <c r="D10" s="5" t="s">
        <v>51</v>
      </c>
    </row>
    <row r="11" spans="1:4" x14ac:dyDescent="0.25">
      <c r="A11" s="3">
        <v>10</v>
      </c>
      <c r="B11" s="3" t="s">
        <v>36</v>
      </c>
      <c r="C11" s="3" t="s">
        <v>43</v>
      </c>
      <c r="D11" s="5" t="s">
        <v>51</v>
      </c>
    </row>
    <row r="12" spans="1:4" x14ac:dyDescent="0.25">
      <c r="A12" s="3">
        <v>11</v>
      </c>
      <c r="B12" s="3" t="s">
        <v>37</v>
      </c>
      <c r="C12" s="3" t="s">
        <v>44</v>
      </c>
      <c r="D12" s="5" t="s">
        <v>52</v>
      </c>
    </row>
    <row r="13" spans="1:4" x14ac:dyDescent="0.25">
      <c r="A13" s="3">
        <v>12</v>
      </c>
      <c r="B13" s="3" t="s">
        <v>35</v>
      </c>
      <c r="C13" s="3" t="s">
        <v>44</v>
      </c>
      <c r="D13" s="5" t="s">
        <v>52</v>
      </c>
    </row>
    <row r="14" spans="1:4" x14ac:dyDescent="0.25">
      <c r="A14" s="3">
        <v>13</v>
      </c>
      <c r="B14" s="3" t="s">
        <v>36</v>
      </c>
      <c r="C14" s="3" t="s">
        <v>44</v>
      </c>
      <c r="D14" s="5" t="s">
        <v>52</v>
      </c>
    </row>
    <row r="15" spans="1:4" x14ac:dyDescent="0.25">
      <c r="A15" s="3">
        <v>14</v>
      </c>
      <c r="B15" s="3" t="s">
        <v>37</v>
      </c>
      <c r="C15" s="3" t="s">
        <v>45</v>
      </c>
      <c r="D15" s="5" t="s">
        <v>53</v>
      </c>
    </row>
    <row r="16" spans="1:4" x14ac:dyDescent="0.25">
      <c r="A16" s="3">
        <v>15</v>
      </c>
      <c r="B16" s="3" t="s">
        <v>38</v>
      </c>
      <c r="C16" s="3" t="s">
        <v>45</v>
      </c>
      <c r="D16" s="5" t="s">
        <v>53</v>
      </c>
    </row>
    <row r="17" spans="1:4" x14ac:dyDescent="0.25">
      <c r="A17" s="3">
        <v>16</v>
      </c>
      <c r="B17" s="3" t="s">
        <v>35</v>
      </c>
      <c r="C17" s="3" t="s">
        <v>45</v>
      </c>
      <c r="D17" s="5" t="s">
        <v>53</v>
      </c>
    </row>
    <row r="18" spans="1:4" x14ac:dyDescent="0.25">
      <c r="A18" s="3">
        <v>17</v>
      </c>
      <c r="B18" s="3" t="s">
        <v>36</v>
      </c>
      <c r="C18" s="3" t="s">
        <v>46</v>
      </c>
      <c r="D18" s="5" t="s">
        <v>54</v>
      </c>
    </row>
    <row r="19" spans="1:4" x14ac:dyDescent="0.25">
      <c r="A19" s="3">
        <v>18</v>
      </c>
      <c r="B19" s="3" t="s">
        <v>37</v>
      </c>
      <c r="C19" s="3" t="s">
        <v>46</v>
      </c>
      <c r="D19" s="5" t="s">
        <v>54</v>
      </c>
    </row>
    <row r="20" spans="1:4" x14ac:dyDescent="0.25">
      <c r="A20" s="3">
        <v>19</v>
      </c>
      <c r="B20" s="3" t="s">
        <v>38</v>
      </c>
      <c r="C20" s="3" t="s">
        <v>47</v>
      </c>
      <c r="D20" s="5" t="s">
        <v>55</v>
      </c>
    </row>
    <row r="21" spans="1:4" x14ac:dyDescent="0.25">
      <c r="A21" s="3">
        <v>20</v>
      </c>
      <c r="B21" s="3" t="s">
        <v>39</v>
      </c>
      <c r="C21" s="3" t="s">
        <v>47</v>
      </c>
      <c r="D21" s="5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5052-829E-4504-97EE-C1A7AA7916A6}">
  <dimension ref="A1:G6"/>
  <sheetViews>
    <sheetView zoomScale="145" zoomScaleNormal="145" workbookViewId="0">
      <selection sqref="A1:XFD7"/>
    </sheetView>
  </sheetViews>
  <sheetFormatPr defaultRowHeight="15" x14ac:dyDescent="0.25"/>
  <cols>
    <col min="1" max="1" width="15.140625" bestFit="1" customWidth="1"/>
    <col min="2" max="2" width="15.140625" style="22" customWidth="1"/>
    <col min="3" max="3" width="14.140625" bestFit="1" customWidth="1"/>
    <col min="4" max="4" width="14.140625" style="22" bestFit="1" customWidth="1"/>
    <col min="5" max="5" width="17.28515625" bestFit="1" customWidth="1"/>
    <col min="6" max="6" width="7.7109375" style="22" bestFit="1" customWidth="1"/>
    <col min="7" max="7" width="6.42578125" style="22" bestFit="1" customWidth="1"/>
    <col min="8" max="8" width="14.140625" bestFit="1" customWidth="1"/>
    <col min="9" max="9" width="18.140625" customWidth="1"/>
    <col min="10" max="10" width="18.5703125" customWidth="1"/>
  </cols>
  <sheetData>
    <row r="1" spans="1:5" x14ac:dyDescent="0.25">
      <c r="A1" s="25" t="s">
        <v>87</v>
      </c>
      <c r="B1" s="25" t="s">
        <v>88</v>
      </c>
      <c r="C1" s="26" t="s">
        <v>89</v>
      </c>
      <c r="D1" s="26" t="s">
        <v>90</v>
      </c>
      <c r="E1" s="25" t="s">
        <v>91</v>
      </c>
    </row>
    <row r="2" spans="1:5" x14ac:dyDescent="0.25">
      <c r="A2" s="27" t="s">
        <v>92</v>
      </c>
      <c r="B2" s="27" t="s">
        <v>93</v>
      </c>
      <c r="C2" s="28">
        <v>37987</v>
      </c>
      <c r="D2" s="28">
        <v>44166</v>
      </c>
      <c r="E2" s="27" t="s">
        <v>94</v>
      </c>
    </row>
    <row r="3" spans="1:5" x14ac:dyDescent="0.25">
      <c r="A3" s="27" t="s">
        <v>95</v>
      </c>
      <c r="B3" s="27" t="s">
        <v>96</v>
      </c>
      <c r="C3" s="28">
        <v>39858</v>
      </c>
      <c r="D3" s="28">
        <v>44167</v>
      </c>
      <c r="E3" s="27" t="s">
        <v>97</v>
      </c>
    </row>
    <row r="4" spans="1:5" x14ac:dyDescent="0.25">
      <c r="A4" s="27" t="s">
        <v>98</v>
      </c>
      <c r="B4" s="27" t="s">
        <v>99</v>
      </c>
      <c r="C4" s="28">
        <v>39679</v>
      </c>
      <c r="D4" s="28">
        <v>44168</v>
      </c>
      <c r="E4" s="27" t="s">
        <v>100</v>
      </c>
    </row>
    <row r="5" spans="1:5" x14ac:dyDescent="0.25">
      <c r="A5" s="27" t="s">
        <v>101</v>
      </c>
      <c r="B5" s="27" t="s">
        <v>102</v>
      </c>
      <c r="C5" s="28">
        <v>42155</v>
      </c>
      <c r="D5" s="28">
        <v>44169</v>
      </c>
      <c r="E5" s="27" t="s">
        <v>103</v>
      </c>
    </row>
    <row r="6" spans="1:5" x14ac:dyDescent="0.25">
      <c r="A6" s="27" t="s">
        <v>104</v>
      </c>
      <c r="B6" s="27" t="s">
        <v>105</v>
      </c>
      <c r="C6" s="28">
        <v>35885</v>
      </c>
      <c r="D6" s="28">
        <v>44170</v>
      </c>
      <c r="E6" s="27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8335-1DD5-42E6-A643-011ADB1A664A}">
  <dimension ref="A1:F70"/>
  <sheetViews>
    <sheetView tabSelected="1" workbookViewId="0">
      <selection activeCell="C5" sqref="C5"/>
    </sheetView>
  </sheetViews>
  <sheetFormatPr defaultRowHeight="15" x14ac:dyDescent="0.25"/>
  <cols>
    <col min="1" max="1" width="23.140625" style="24" customWidth="1"/>
    <col min="2" max="3" width="17.42578125" style="24" customWidth="1"/>
    <col min="4" max="4" width="25.140625" style="24" customWidth="1"/>
    <col min="5" max="5" width="19.140625" style="24" customWidth="1"/>
    <col min="6" max="6" width="36.7109375" style="24" bestFit="1" customWidth="1"/>
    <col min="7" max="16384" width="9.140625" style="24"/>
  </cols>
  <sheetData>
    <row r="1" spans="1:6" x14ac:dyDescent="0.25">
      <c r="A1" s="23" t="s">
        <v>109</v>
      </c>
      <c r="B1" s="23" t="s">
        <v>108</v>
      </c>
      <c r="C1" s="23" t="s">
        <v>107</v>
      </c>
      <c r="D1" s="23" t="s">
        <v>109</v>
      </c>
      <c r="E1" s="23" t="s">
        <v>110</v>
      </c>
      <c r="F1" s="23" t="s">
        <v>111</v>
      </c>
    </row>
    <row r="2" spans="1:6" x14ac:dyDescent="0.25">
      <c r="A2" s="24" t="s">
        <v>112</v>
      </c>
      <c r="F2" s="29"/>
    </row>
    <row r="3" spans="1:6" x14ac:dyDescent="0.25">
      <c r="A3" s="24" t="s">
        <v>113</v>
      </c>
      <c r="F3" s="29"/>
    </row>
    <row r="4" spans="1:6" x14ac:dyDescent="0.25">
      <c r="A4" s="24" t="s">
        <v>114</v>
      </c>
      <c r="F4" s="29"/>
    </row>
    <row r="5" spans="1:6" x14ac:dyDescent="0.25">
      <c r="A5" s="24" t="s">
        <v>115</v>
      </c>
      <c r="F5" s="29"/>
    </row>
    <row r="6" spans="1:6" x14ac:dyDescent="0.25">
      <c r="A6" s="24" t="s">
        <v>116</v>
      </c>
      <c r="F6" s="29"/>
    </row>
    <row r="7" spans="1:6" x14ac:dyDescent="0.25">
      <c r="A7" s="24" t="s">
        <v>117</v>
      </c>
      <c r="F7" s="29"/>
    </row>
    <row r="8" spans="1:6" x14ac:dyDescent="0.25">
      <c r="A8" s="24" t="s">
        <v>118</v>
      </c>
      <c r="F8" s="29"/>
    </row>
    <row r="9" spans="1:6" x14ac:dyDescent="0.25">
      <c r="A9" s="24" t="s">
        <v>119</v>
      </c>
      <c r="F9" s="29"/>
    </row>
    <row r="10" spans="1:6" x14ac:dyDescent="0.25">
      <c r="A10" s="24" t="s">
        <v>120</v>
      </c>
      <c r="F10" s="29"/>
    </row>
    <row r="11" spans="1:6" x14ac:dyDescent="0.25">
      <c r="A11" s="24" t="s">
        <v>121</v>
      </c>
      <c r="F11" s="29"/>
    </row>
    <row r="12" spans="1:6" x14ac:dyDescent="0.25">
      <c r="A12" s="24" t="s">
        <v>122</v>
      </c>
      <c r="F12" s="29"/>
    </row>
    <row r="13" spans="1:6" x14ac:dyDescent="0.25">
      <c r="A13" s="24" t="s">
        <v>123</v>
      </c>
      <c r="F13" s="29"/>
    </row>
    <row r="14" spans="1:6" x14ac:dyDescent="0.25">
      <c r="A14" s="24" t="s">
        <v>124</v>
      </c>
      <c r="F14" s="29"/>
    </row>
    <row r="15" spans="1:6" x14ac:dyDescent="0.25">
      <c r="A15" s="24" t="s">
        <v>125</v>
      </c>
      <c r="F15" s="29"/>
    </row>
    <row r="16" spans="1:6" x14ac:dyDescent="0.25">
      <c r="A16" s="24" t="s">
        <v>126</v>
      </c>
      <c r="F16" s="29"/>
    </row>
    <row r="17" spans="1:6" x14ac:dyDescent="0.25">
      <c r="A17" s="24" t="s">
        <v>127</v>
      </c>
      <c r="F17" s="29"/>
    </row>
    <row r="18" spans="1:6" x14ac:dyDescent="0.25">
      <c r="A18" s="24" t="s">
        <v>128</v>
      </c>
      <c r="F18" s="29"/>
    </row>
    <row r="19" spans="1:6" x14ac:dyDescent="0.25">
      <c r="A19" s="24" t="s">
        <v>129</v>
      </c>
      <c r="F19" s="29"/>
    </row>
    <row r="20" spans="1:6" x14ac:dyDescent="0.25">
      <c r="A20" s="24" t="s">
        <v>130</v>
      </c>
      <c r="F20" s="29"/>
    </row>
    <row r="21" spans="1:6" x14ac:dyDescent="0.25">
      <c r="A21" s="24" t="s">
        <v>131</v>
      </c>
      <c r="F21" s="29"/>
    </row>
    <row r="22" spans="1:6" x14ac:dyDescent="0.25">
      <c r="A22" s="24" t="s">
        <v>132</v>
      </c>
      <c r="F22" s="29"/>
    </row>
    <row r="23" spans="1:6" x14ac:dyDescent="0.25">
      <c r="A23" s="24" t="s">
        <v>133</v>
      </c>
      <c r="F23" s="29"/>
    </row>
    <row r="24" spans="1:6" x14ac:dyDescent="0.25">
      <c r="A24" s="24" t="s">
        <v>134</v>
      </c>
      <c r="F24" s="29"/>
    </row>
    <row r="25" spans="1:6" x14ac:dyDescent="0.25">
      <c r="A25" s="24" t="s">
        <v>135</v>
      </c>
      <c r="F25" s="29"/>
    </row>
    <row r="26" spans="1:6" x14ac:dyDescent="0.25">
      <c r="A26" s="24" t="s">
        <v>136</v>
      </c>
      <c r="F26" s="29"/>
    </row>
    <row r="27" spans="1:6" x14ac:dyDescent="0.25">
      <c r="A27" s="24" t="s">
        <v>137</v>
      </c>
      <c r="F27" s="29"/>
    </row>
    <row r="28" spans="1:6" x14ac:dyDescent="0.25">
      <c r="A28" s="24" t="s">
        <v>138</v>
      </c>
      <c r="F28" s="29"/>
    </row>
    <row r="29" spans="1:6" x14ac:dyDescent="0.25">
      <c r="A29" s="24" t="s">
        <v>139</v>
      </c>
      <c r="F29" s="29"/>
    </row>
    <row r="30" spans="1:6" x14ac:dyDescent="0.25">
      <c r="A30" s="24" t="s">
        <v>140</v>
      </c>
      <c r="F30" s="29"/>
    </row>
    <row r="31" spans="1:6" x14ac:dyDescent="0.25">
      <c r="A31" s="24" t="s">
        <v>141</v>
      </c>
      <c r="F31" s="29"/>
    </row>
    <row r="32" spans="1:6" x14ac:dyDescent="0.25">
      <c r="A32" s="24" t="s">
        <v>142</v>
      </c>
      <c r="F32" s="29"/>
    </row>
    <row r="33" spans="1:6" x14ac:dyDescent="0.25">
      <c r="A33" s="24" t="s">
        <v>143</v>
      </c>
      <c r="F33" s="29"/>
    </row>
    <row r="34" spans="1:6" x14ac:dyDescent="0.25">
      <c r="A34" s="24" t="s">
        <v>144</v>
      </c>
      <c r="F34" s="29"/>
    </row>
    <row r="35" spans="1:6" x14ac:dyDescent="0.25">
      <c r="A35" s="24" t="s">
        <v>145</v>
      </c>
      <c r="F35" s="29"/>
    </row>
    <row r="36" spans="1:6" x14ac:dyDescent="0.25">
      <c r="A36" s="24" t="s">
        <v>146</v>
      </c>
      <c r="F36" s="29"/>
    </row>
    <row r="37" spans="1:6" x14ac:dyDescent="0.25">
      <c r="A37" s="24" t="s">
        <v>147</v>
      </c>
      <c r="F37" s="29"/>
    </row>
    <row r="38" spans="1:6" x14ac:dyDescent="0.25">
      <c r="A38" s="24" t="s">
        <v>148</v>
      </c>
      <c r="F38" s="29"/>
    </row>
    <row r="39" spans="1:6" x14ac:dyDescent="0.25">
      <c r="A39" s="24" t="s">
        <v>149</v>
      </c>
      <c r="F39" s="29"/>
    </row>
    <row r="40" spans="1:6" x14ac:dyDescent="0.25">
      <c r="A40" s="24" t="s">
        <v>150</v>
      </c>
      <c r="F40" s="29"/>
    </row>
    <row r="41" spans="1:6" x14ac:dyDescent="0.25">
      <c r="A41" s="24" t="s">
        <v>151</v>
      </c>
      <c r="F41" s="29"/>
    </row>
    <row r="42" spans="1:6" x14ac:dyDescent="0.25">
      <c r="A42" s="24" t="s">
        <v>152</v>
      </c>
      <c r="F42" s="29"/>
    </row>
    <row r="43" spans="1:6" x14ac:dyDescent="0.25">
      <c r="A43" s="24" t="s">
        <v>153</v>
      </c>
      <c r="F43" s="29"/>
    </row>
    <row r="44" spans="1:6" x14ac:dyDescent="0.25">
      <c r="A44" s="24" t="s">
        <v>154</v>
      </c>
      <c r="F44" s="29"/>
    </row>
    <row r="45" spans="1:6" x14ac:dyDescent="0.25">
      <c r="A45" s="24" t="s">
        <v>155</v>
      </c>
      <c r="F45" s="29"/>
    </row>
    <row r="46" spans="1:6" x14ac:dyDescent="0.25">
      <c r="A46" s="24" t="s">
        <v>156</v>
      </c>
      <c r="F46" s="29"/>
    </row>
    <row r="47" spans="1:6" x14ac:dyDescent="0.25">
      <c r="A47" s="24" t="s">
        <v>157</v>
      </c>
      <c r="F47" s="29"/>
    </row>
    <row r="48" spans="1:6" x14ac:dyDescent="0.25">
      <c r="A48" s="24" t="s">
        <v>158</v>
      </c>
      <c r="F48" s="29"/>
    </row>
    <row r="49" spans="1:6" x14ac:dyDescent="0.25">
      <c r="A49" s="24" t="s">
        <v>159</v>
      </c>
      <c r="F49" s="29"/>
    </row>
    <row r="50" spans="1:6" x14ac:dyDescent="0.25">
      <c r="A50" s="24" t="s">
        <v>160</v>
      </c>
      <c r="F50" s="29"/>
    </row>
    <row r="51" spans="1:6" x14ac:dyDescent="0.25">
      <c r="A51" s="24" t="s">
        <v>161</v>
      </c>
      <c r="F51" s="29"/>
    </row>
    <row r="52" spans="1:6" x14ac:dyDescent="0.25">
      <c r="A52" s="24" t="s">
        <v>162</v>
      </c>
      <c r="F52" s="29"/>
    </row>
    <row r="53" spans="1:6" x14ac:dyDescent="0.25">
      <c r="A53" s="24" t="s">
        <v>163</v>
      </c>
      <c r="F53" s="29"/>
    </row>
    <row r="54" spans="1:6" x14ac:dyDescent="0.25">
      <c r="A54" s="24" t="s">
        <v>164</v>
      </c>
      <c r="F54" s="29"/>
    </row>
    <row r="55" spans="1:6" x14ac:dyDescent="0.25">
      <c r="A55" s="24" t="s">
        <v>165</v>
      </c>
      <c r="F55" s="29"/>
    </row>
    <row r="56" spans="1:6" x14ac:dyDescent="0.25">
      <c r="A56" s="24" t="s">
        <v>166</v>
      </c>
      <c r="F56" s="29"/>
    </row>
    <row r="57" spans="1:6" x14ac:dyDescent="0.25">
      <c r="A57" s="24" t="s">
        <v>167</v>
      </c>
      <c r="F57" s="29"/>
    </row>
    <row r="58" spans="1:6" x14ac:dyDescent="0.25">
      <c r="A58" s="24" t="s">
        <v>168</v>
      </c>
      <c r="F58" s="29"/>
    </row>
    <row r="59" spans="1:6" x14ac:dyDescent="0.25">
      <c r="A59" s="24" t="s">
        <v>169</v>
      </c>
      <c r="F59" s="29"/>
    </row>
    <row r="60" spans="1:6" x14ac:dyDescent="0.25">
      <c r="A60" s="24" t="s">
        <v>170</v>
      </c>
      <c r="F60" s="29"/>
    </row>
    <row r="61" spans="1:6" x14ac:dyDescent="0.25">
      <c r="A61" s="24" t="s">
        <v>171</v>
      </c>
      <c r="F61" s="29"/>
    </row>
    <row r="62" spans="1:6" x14ac:dyDescent="0.25">
      <c r="A62" s="24" t="s">
        <v>172</v>
      </c>
      <c r="F62" s="29"/>
    </row>
    <row r="63" spans="1:6" x14ac:dyDescent="0.25">
      <c r="A63" s="24" t="s">
        <v>173</v>
      </c>
      <c r="F63" s="29"/>
    </row>
    <row r="64" spans="1:6" x14ac:dyDescent="0.25">
      <c r="A64" s="24" t="s">
        <v>174</v>
      </c>
      <c r="F64" s="29"/>
    </row>
    <row r="65" spans="1:6" x14ac:dyDescent="0.25">
      <c r="A65" s="24" t="s">
        <v>175</v>
      </c>
      <c r="F65" s="29"/>
    </row>
    <row r="66" spans="1:6" x14ac:dyDescent="0.25">
      <c r="A66" s="24" t="s">
        <v>176</v>
      </c>
      <c r="F66" s="29"/>
    </row>
    <row r="67" spans="1:6" x14ac:dyDescent="0.25">
      <c r="A67" s="24" t="s">
        <v>177</v>
      </c>
      <c r="F67" s="29"/>
    </row>
    <row r="68" spans="1:6" x14ac:dyDescent="0.25">
      <c r="A68" s="24" t="s">
        <v>178</v>
      </c>
      <c r="F68" s="29"/>
    </row>
    <row r="69" spans="1:6" x14ac:dyDescent="0.25">
      <c r="A69" s="24" t="s">
        <v>179</v>
      </c>
      <c r="F69" s="29"/>
    </row>
    <row r="70" spans="1:6" x14ac:dyDescent="0.25">
      <c r="A70" s="24" t="s">
        <v>180</v>
      </c>
      <c r="F7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SORT</vt:lpstr>
      <vt:lpstr>FILTER</vt:lpstr>
      <vt:lpstr>SUBTOTAL</vt:lpstr>
      <vt:lpstr>DATA VALIDATION</vt:lpstr>
      <vt:lpstr>ERROR CHECKING</vt:lpstr>
      <vt:lpstr>REMOVING DUPLICATES</vt:lpstr>
      <vt:lpstr>TEXT TO COLUMNS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Iryawan</dc:creator>
  <cp:lastModifiedBy>Dede Iryawan</cp:lastModifiedBy>
  <dcterms:created xsi:type="dcterms:W3CDTF">2025-12-16T09:38:38Z</dcterms:created>
  <dcterms:modified xsi:type="dcterms:W3CDTF">2025-12-16T14:00:50Z</dcterms:modified>
</cp:coreProperties>
</file>